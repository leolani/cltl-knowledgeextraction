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k/Desktop/d-Leolani/cltl-knowledgeextraction/examples/evaluation_reports/"/>
    </mc:Choice>
  </mc:AlternateContent>
  <xr:revisionPtr revIDLastSave="0" documentId="13_ncr:9_{475B98D5-E421-0A49-B8BB-1A1766031344}" xr6:coauthVersionLast="47" xr6:coauthVersionMax="47" xr10:uidLastSave="{00000000-0000-0000-0000-000000000000}"/>
  <bookViews>
    <workbookView xWindow="1280" yWindow="500" windowWidth="35840" windowHeight="21000" activeTab="2" xr2:uid="{7FD161EE-5DDE-BC41-BC0F-A07056FC2385}"/>
  </bookViews>
  <sheets>
    <sheet name="overview_2024-12-19" sheetId="1" r:id="rId1"/>
    <sheet name="Blad1" sheetId="2" r:id="rId2"/>
    <sheet name="Blad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3" l="1"/>
  <c r="H36" i="3"/>
  <c r="H34" i="3"/>
  <c r="H33" i="3"/>
  <c r="H32" i="3"/>
  <c r="H31" i="3"/>
  <c r="H30" i="3"/>
  <c r="H28" i="3"/>
  <c r="H27" i="3"/>
  <c r="H26" i="3"/>
  <c r="H25" i="3"/>
  <c r="H24" i="3"/>
  <c r="H22" i="3"/>
  <c r="H21" i="3"/>
  <c r="H20" i="3"/>
  <c r="H19" i="3"/>
  <c r="H18" i="3"/>
  <c r="H16" i="3"/>
  <c r="H15" i="3"/>
  <c r="H14" i="3"/>
  <c r="H13" i="3"/>
  <c r="H12" i="3"/>
  <c r="H10" i="3"/>
  <c r="H9" i="3"/>
  <c r="H8" i="3"/>
  <c r="H7" i="3"/>
  <c r="H6" i="3"/>
  <c r="H4" i="3"/>
  <c r="H3" i="3"/>
</calcChain>
</file>

<file path=xl/sharedStrings.xml><?xml version="1.0" encoding="utf-8"?>
<sst xmlns="http://schemas.openxmlformats.org/spreadsheetml/2006/main" count="239" uniqueCount="56">
  <si>
    <t>analyzer</t>
  </si>
  <si>
    <t>test_file</t>
  </si>
  <si>
    <t>nr_utterances</t>
  </si>
  <si>
    <t>no_triples</t>
  </si>
  <si>
    <t>correct_triples</t>
  </si>
  <si>
    <t>incorrect_triples</t>
  </si>
  <si>
    <t>triple_recall</t>
  </si>
  <si>
    <t>triple_precision</t>
  </si>
  <si>
    <t>total triple elements</t>
  </si>
  <si>
    <t>correct triple elements</t>
  </si>
  <si>
    <t>incorrect triple elements</t>
  </si>
  <si>
    <t>recall triple elements</t>
  </si>
  <si>
    <t>precision triple elements</t>
  </si>
  <si>
    <t>correct_subjects</t>
  </si>
  <si>
    <t>incorrect_subjects</t>
  </si>
  <si>
    <t>subjects_recall</t>
  </si>
  <si>
    <t>subjects_precision</t>
  </si>
  <si>
    <t>correct_objects</t>
  </si>
  <si>
    <t>incorrect_objects</t>
  </si>
  <si>
    <t>objects_recall</t>
  </si>
  <si>
    <t>objects_precision</t>
  </si>
  <si>
    <t>correct_predicates</t>
  </si>
  <si>
    <t>incorrect_predicates</t>
  </si>
  <si>
    <t>predicates_recall</t>
  </si>
  <si>
    <t>predicates_precision</t>
  </si>
  <si>
    <t>correct_perspectives</t>
  </si>
  <si>
    <t>incorrect_perspectives</t>
  </si>
  <si>
    <t>perspectives_recall</t>
  </si>
  <si>
    <t>perspectives_precision</t>
  </si>
  <si>
    <t>CONV</t>
  </si>
  <si>
    <t>./data/statements.txt</t>
  </si>
  <si>
    <t>./data/verb-questions.txt</t>
  </si>
  <si>
    <t>./data/wh-questions.txt</t>
  </si>
  <si>
    <t>./data/perspective.txt</t>
  </si>
  <si>
    <t>./data/kinship-friends.txt</t>
  </si>
  <si>
    <t>./data/activities.txt</t>
  </si>
  <si>
    <t>./data/feelings.txt</t>
  </si>
  <si>
    <t>./data/locations.txt</t>
  </si>
  <si>
    <t>./data/professions.txt</t>
  </si>
  <si>
    <t>CFG</t>
  </si>
  <si>
    <t>CFG-a</t>
  </si>
  <si>
    <t>spaCy</t>
  </si>
  <si>
    <t>openIE</t>
  </si>
  <si>
    <t>LLAMA3.2</t>
  </si>
  <si>
    <t>activities</t>
  </si>
  <si>
    <t>feelings</t>
  </si>
  <si>
    <t>kinship-friends</t>
  </si>
  <si>
    <t>locations</t>
  </si>
  <si>
    <t>professions</t>
  </si>
  <si>
    <t>perspective</t>
  </si>
  <si>
    <t>statements</t>
  </si>
  <si>
    <t>verb-questions</t>
  </si>
  <si>
    <t>wh-questions</t>
  </si>
  <si>
    <t>model</t>
  </si>
  <si>
    <t>CONV-albert</t>
  </si>
  <si>
    <t>CONV-mBERT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</si>
</sst>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EE4F-CCCB-A743-9847-ED91A290FA4D}">
  <dimension ref="A1:AD64"/>
  <sheetViews>
    <sheetView workbookViewId="0">
      <selection sqref="A1:XFD1048576"/>
    </sheetView>
  </sheetViews>
  <sheetFormatPr baseColWidth="10" defaultRowHeight="16" x14ac:dyDescent="0.2"/>
  <sheetData>
    <row r="1" spans="1:3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">
      <c r="A2">
        <v>0</v>
      </c>
      <c r="B2" t="s">
        <v>29</v>
      </c>
      <c r="C2" t="s">
        <v>30</v>
      </c>
      <c r="D2">
        <v>88</v>
      </c>
      <c r="E2">
        <v>5</v>
      </c>
      <c r="F2">
        <v>40</v>
      </c>
      <c r="G2">
        <v>48</v>
      </c>
      <c r="H2">
        <v>45.454545454545404</v>
      </c>
      <c r="I2">
        <v>45.454545454545404</v>
      </c>
      <c r="J2">
        <v>264</v>
      </c>
      <c r="K2">
        <v>183</v>
      </c>
      <c r="L2">
        <v>81</v>
      </c>
      <c r="M2">
        <v>5368</v>
      </c>
      <c r="N2">
        <v>0.69318181818181801</v>
      </c>
      <c r="O2">
        <v>67</v>
      </c>
      <c r="P2">
        <v>21</v>
      </c>
      <c r="Q2">
        <v>76.136363636363598</v>
      </c>
      <c r="R2">
        <v>76.136363636363598</v>
      </c>
      <c r="S2">
        <v>72</v>
      </c>
      <c r="T2">
        <v>16</v>
      </c>
      <c r="U2">
        <v>81.818181818181799</v>
      </c>
      <c r="V2">
        <v>81.818181818181799</v>
      </c>
      <c r="W2">
        <v>44</v>
      </c>
      <c r="X2">
        <v>44</v>
      </c>
      <c r="Y2">
        <v>50</v>
      </c>
      <c r="Z2">
        <v>50</v>
      </c>
      <c r="AA2">
        <v>0</v>
      </c>
      <c r="AB2">
        <v>0</v>
      </c>
      <c r="AC2">
        <v>0</v>
      </c>
      <c r="AD2">
        <v>0</v>
      </c>
    </row>
    <row r="3" spans="1:30" x14ac:dyDescent="0.2">
      <c r="A3">
        <v>1</v>
      </c>
      <c r="B3" t="s">
        <v>29</v>
      </c>
      <c r="C3" t="s">
        <v>31</v>
      </c>
      <c r="D3">
        <v>63</v>
      </c>
      <c r="E3">
        <v>8</v>
      </c>
      <c r="F3">
        <v>24</v>
      </c>
      <c r="G3">
        <v>39</v>
      </c>
      <c r="H3">
        <v>38.095238095238003</v>
      </c>
      <c r="I3">
        <v>38.095238095238003</v>
      </c>
      <c r="J3">
        <v>189</v>
      </c>
      <c r="K3">
        <v>116</v>
      </c>
      <c r="L3">
        <v>73</v>
      </c>
      <c r="M3">
        <v>2436</v>
      </c>
      <c r="N3">
        <v>0.61375661375661295</v>
      </c>
      <c r="O3">
        <v>41</v>
      </c>
      <c r="P3">
        <v>22</v>
      </c>
      <c r="Q3">
        <v>65.079365079365004</v>
      </c>
      <c r="R3">
        <v>65.079365079365004</v>
      </c>
      <c r="S3">
        <v>44</v>
      </c>
      <c r="T3">
        <v>19</v>
      </c>
      <c r="U3">
        <v>69.841269841269806</v>
      </c>
      <c r="V3">
        <v>69.841269841269806</v>
      </c>
      <c r="W3">
        <v>31</v>
      </c>
      <c r="X3">
        <v>32</v>
      </c>
      <c r="Y3">
        <v>49.206349206349202</v>
      </c>
      <c r="Z3">
        <v>49.206349206349202</v>
      </c>
      <c r="AA3">
        <v>0</v>
      </c>
      <c r="AB3">
        <v>0</v>
      </c>
      <c r="AC3">
        <v>0</v>
      </c>
      <c r="AD3">
        <v>0</v>
      </c>
    </row>
    <row r="4" spans="1:30" x14ac:dyDescent="0.2">
      <c r="A4">
        <v>2</v>
      </c>
      <c r="B4" t="s">
        <v>29</v>
      </c>
      <c r="C4" t="s">
        <v>32</v>
      </c>
      <c r="D4">
        <v>66</v>
      </c>
      <c r="E4">
        <v>19</v>
      </c>
      <c r="F4">
        <v>11</v>
      </c>
      <c r="G4">
        <v>55</v>
      </c>
      <c r="H4">
        <v>16.6666666666666</v>
      </c>
      <c r="I4">
        <v>16.6666666666666</v>
      </c>
      <c r="J4">
        <v>198</v>
      </c>
      <c r="K4">
        <v>75</v>
      </c>
      <c r="L4">
        <v>123</v>
      </c>
      <c r="M4">
        <v>1650</v>
      </c>
      <c r="N4">
        <v>0.37878787878787801</v>
      </c>
      <c r="O4">
        <v>23</v>
      </c>
      <c r="P4">
        <v>43</v>
      </c>
      <c r="Q4">
        <v>34.848484848484802</v>
      </c>
      <c r="R4">
        <v>34.848484848484802</v>
      </c>
      <c r="S4">
        <v>40</v>
      </c>
      <c r="T4">
        <v>26</v>
      </c>
      <c r="U4">
        <v>60.606060606060602</v>
      </c>
      <c r="V4">
        <v>60.606060606060602</v>
      </c>
      <c r="W4">
        <v>12</v>
      </c>
      <c r="X4">
        <v>54</v>
      </c>
      <c r="Y4">
        <v>18.181818181818102</v>
      </c>
      <c r="Z4">
        <v>18.181818181818102</v>
      </c>
      <c r="AA4">
        <v>0</v>
      </c>
      <c r="AB4">
        <v>0</v>
      </c>
      <c r="AC4">
        <v>0</v>
      </c>
      <c r="AD4">
        <v>0</v>
      </c>
    </row>
    <row r="5" spans="1:30" x14ac:dyDescent="0.2">
      <c r="A5">
        <v>3</v>
      </c>
      <c r="B5" t="s">
        <v>29</v>
      </c>
      <c r="C5" t="s">
        <v>33</v>
      </c>
      <c r="D5">
        <v>28</v>
      </c>
      <c r="E5">
        <v>4</v>
      </c>
      <c r="F5">
        <v>10</v>
      </c>
      <c r="G5">
        <v>18</v>
      </c>
      <c r="H5">
        <v>35.714285714285701</v>
      </c>
      <c r="I5">
        <v>35.714285714285701</v>
      </c>
      <c r="J5">
        <v>84</v>
      </c>
      <c r="K5">
        <v>49</v>
      </c>
      <c r="L5">
        <v>35</v>
      </c>
      <c r="M5">
        <v>457.33333333333297</v>
      </c>
      <c r="N5">
        <v>0.58333333333333304</v>
      </c>
      <c r="O5">
        <v>17</v>
      </c>
      <c r="P5">
        <v>11</v>
      </c>
      <c r="Q5">
        <v>60.714285714285701</v>
      </c>
      <c r="R5">
        <v>60.714285714285701</v>
      </c>
      <c r="S5">
        <v>22</v>
      </c>
      <c r="T5">
        <v>6</v>
      </c>
      <c r="U5">
        <v>78.571428571428498</v>
      </c>
      <c r="V5">
        <v>78.571428571428498</v>
      </c>
      <c r="W5">
        <v>10</v>
      </c>
      <c r="X5">
        <v>18</v>
      </c>
      <c r="Y5">
        <v>35.714285714285701</v>
      </c>
      <c r="Z5">
        <v>35.714285714285701</v>
      </c>
      <c r="AA5">
        <v>28</v>
      </c>
      <c r="AB5">
        <v>26</v>
      </c>
      <c r="AC5">
        <v>100</v>
      </c>
      <c r="AD5">
        <v>51.851851851851798</v>
      </c>
    </row>
    <row r="6" spans="1:30" x14ac:dyDescent="0.2">
      <c r="A6">
        <v>4</v>
      </c>
      <c r="B6" t="s">
        <v>29</v>
      </c>
      <c r="C6" t="s">
        <v>34</v>
      </c>
      <c r="D6">
        <v>34</v>
      </c>
      <c r="E6">
        <v>1</v>
      </c>
      <c r="F6">
        <v>0</v>
      </c>
      <c r="G6">
        <v>34</v>
      </c>
      <c r="H6">
        <v>0</v>
      </c>
      <c r="I6">
        <v>0</v>
      </c>
      <c r="J6">
        <v>102</v>
      </c>
      <c r="K6">
        <v>11</v>
      </c>
      <c r="L6">
        <v>91</v>
      </c>
      <c r="M6">
        <v>124.666666666666</v>
      </c>
      <c r="N6">
        <v>0.10784313725490099</v>
      </c>
      <c r="O6">
        <v>10</v>
      </c>
      <c r="P6">
        <v>24</v>
      </c>
      <c r="Q6">
        <v>29.411764705882302</v>
      </c>
      <c r="R6">
        <v>29.411764705882302</v>
      </c>
      <c r="S6">
        <v>1</v>
      </c>
      <c r="T6">
        <v>33</v>
      </c>
      <c r="U6">
        <v>2.9411764705882302</v>
      </c>
      <c r="V6">
        <v>2.9411764705882302</v>
      </c>
      <c r="W6">
        <v>0</v>
      </c>
      <c r="X6">
        <v>34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">
      <c r="A7">
        <v>5</v>
      </c>
      <c r="B7" t="s">
        <v>29</v>
      </c>
      <c r="C7" t="s">
        <v>35</v>
      </c>
      <c r="D7">
        <v>24</v>
      </c>
      <c r="E7">
        <v>1</v>
      </c>
      <c r="F7">
        <v>0</v>
      </c>
      <c r="G7">
        <v>24</v>
      </c>
      <c r="H7">
        <v>0</v>
      </c>
      <c r="I7">
        <v>0</v>
      </c>
      <c r="J7">
        <v>72</v>
      </c>
      <c r="K7">
        <v>27</v>
      </c>
      <c r="L7">
        <v>45</v>
      </c>
      <c r="M7">
        <v>216</v>
      </c>
      <c r="N7">
        <v>0.375</v>
      </c>
      <c r="O7">
        <v>19</v>
      </c>
      <c r="P7">
        <v>5</v>
      </c>
      <c r="Q7">
        <v>79.1666666666666</v>
      </c>
      <c r="R7">
        <v>79.1666666666666</v>
      </c>
      <c r="S7">
        <v>8</v>
      </c>
      <c r="T7">
        <v>16</v>
      </c>
      <c r="U7">
        <v>33.3333333333333</v>
      </c>
      <c r="V7">
        <v>33.3333333333333</v>
      </c>
      <c r="W7">
        <v>0</v>
      </c>
      <c r="X7">
        <v>24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">
      <c r="A8">
        <v>6</v>
      </c>
      <c r="B8" t="s">
        <v>29</v>
      </c>
      <c r="C8" t="s">
        <v>36</v>
      </c>
      <c r="D8">
        <v>8</v>
      </c>
      <c r="E8">
        <v>0</v>
      </c>
      <c r="F8">
        <v>4</v>
      </c>
      <c r="G8">
        <v>4</v>
      </c>
      <c r="H8">
        <v>50</v>
      </c>
      <c r="I8">
        <v>50</v>
      </c>
      <c r="J8">
        <v>24</v>
      </c>
      <c r="K8">
        <v>20</v>
      </c>
      <c r="L8">
        <v>4</v>
      </c>
      <c r="M8">
        <v>53.3333333333333</v>
      </c>
      <c r="N8">
        <v>0.83333333333333304</v>
      </c>
      <c r="O8">
        <v>8</v>
      </c>
      <c r="P8">
        <v>0</v>
      </c>
      <c r="Q8">
        <v>100</v>
      </c>
      <c r="R8">
        <v>100</v>
      </c>
      <c r="S8">
        <v>8</v>
      </c>
      <c r="T8">
        <v>0</v>
      </c>
      <c r="U8">
        <v>100</v>
      </c>
      <c r="V8">
        <v>100</v>
      </c>
      <c r="W8">
        <v>4</v>
      </c>
      <c r="X8">
        <v>4</v>
      </c>
      <c r="Y8">
        <v>50</v>
      </c>
      <c r="Z8">
        <v>50</v>
      </c>
      <c r="AA8">
        <v>0</v>
      </c>
      <c r="AB8">
        <v>0</v>
      </c>
      <c r="AC8">
        <v>0</v>
      </c>
      <c r="AD8">
        <v>0</v>
      </c>
    </row>
    <row r="9" spans="1:30" x14ac:dyDescent="0.2">
      <c r="A9">
        <v>7</v>
      </c>
      <c r="B9" t="s">
        <v>29</v>
      </c>
      <c r="C9" t="s">
        <v>37</v>
      </c>
      <c r="D9">
        <v>13</v>
      </c>
      <c r="E9">
        <v>0</v>
      </c>
      <c r="F9">
        <v>0</v>
      </c>
      <c r="G9">
        <v>13</v>
      </c>
      <c r="H9">
        <v>0</v>
      </c>
      <c r="I9">
        <v>0</v>
      </c>
      <c r="J9">
        <v>39</v>
      </c>
      <c r="K9">
        <v>23</v>
      </c>
      <c r="L9">
        <v>16</v>
      </c>
      <c r="M9">
        <v>99.6666666666666</v>
      </c>
      <c r="N9">
        <v>0.58974358974358898</v>
      </c>
      <c r="O9">
        <v>13</v>
      </c>
      <c r="P9">
        <v>0</v>
      </c>
      <c r="Q9">
        <v>100</v>
      </c>
      <c r="R9">
        <v>100</v>
      </c>
      <c r="S9">
        <v>10</v>
      </c>
      <c r="T9">
        <v>3</v>
      </c>
      <c r="U9">
        <v>76.923076923076906</v>
      </c>
      <c r="V9">
        <v>76.923076923076906</v>
      </c>
      <c r="W9">
        <v>0</v>
      </c>
      <c r="X9">
        <v>13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">
      <c r="A10">
        <v>8</v>
      </c>
      <c r="B10" t="s">
        <v>29</v>
      </c>
      <c r="C10" t="s">
        <v>38</v>
      </c>
      <c r="D10">
        <v>7</v>
      </c>
      <c r="E10">
        <v>0</v>
      </c>
      <c r="F10">
        <v>4</v>
      </c>
      <c r="G10">
        <v>3</v>
      </c>
      <c r="H10">
        <v>57.142857142857103</v>
      </c>
      <c r="I10">
        <v>57.142857142857103</v>
      </c>
      <c r="J10">
        <v>21</v>
      </c>
      <c r="K10">
        <v>15</v>
      </c>
      <c r="L10">
        <v>6</v>
      </c>
      <c r="M10">
        <v>35</v>
      </c>
      <c r="N10">
        <v>0.71428571428571397</v>
      </c>
      <c r="O10">
        <v>7</v>
      </c>
      <c r="P10">
        <v>0</v>
      </c>
      <c r="Q10">
        <v>100</v>
      </c>
      <c r="R10">
        <v>100</v>
      </c>
      <c r="S10">
        <v>4</v>
      </c>
      <c r="T10">
        <v>3</v>
      </c>
      <c r="U10">
        <v>57.142857142857103</v>
      </c>
      <c r="V10">
        <v>57.142857142857103</v>
      </c>
      <c r="W10">
        <v>4</v>
      </c>
      <c r="X10">
        <v>3</v>
      </c>
      <c r="Y10">
        <v>57.142857142857103</v>
      </c>
      <c r="Z10">
        <v>57.142857142857103</v>
      </c>
      <c r="AA10">
        <v>0</v>
      </c>
      <c r="AB10">
        <v>0</v>
      </c>
      <c r="AC10">
        <v>0</v>
      </c>
      <c r="AD10">
        <v>0</v>
      </c>
    </row>
    <row r="11" spans="1:30" x14ac:dyDescent="0.2">
      <c r="A11">
        <v>0</v>
      </c>
      <c r="B11" t="s">
        <v>39</v>
      </c>
      <c r="C11" t="s">
        <v>30</v>
      </c>
      <c r="D11">
        <v>88</v>
      </c>
      <c r="E11">
        <v>2</v>
      </c>
      <c r="F11">
        <v>45</v>
      </c>
      <c r="G11">
        <v>43</v>
      </c>
      <c r="H11">
        <v>51.136363636363598</v>
      </c>
      <c r="I11">
        <v>51.136363636363598</v>
      </c>
      <c r="J11">
        <v>264</v>
      </c>
      <c r="K11">
        <v>177</v>
      </c>
      <c r="L11">
        <v>87</v>
      </c>
      <c r="M11">
        <v>5192</v>
      </c>
      <c r="N11">
        <v>0.67045454545454497</v>
      </c>
      <c r="O11">
        <v>68</v>
      </c>
      <c r="P11">
        <v>20</v>
      </c>
      <c r="Q11">
        <v>77.272727272727195</v>
      </c>
      <c r="R11">
        <v>77.272727272727195</v>
      </c>
      <c r="S11">
        <v>60</v>
      </c>
      <c r="T11">
        <v>28</v>
      </c>
      <c r="U11">
        <v>68.181818181818102</v>
      </c>
      <c r="V11">
        <v>68.181818181818102</v>
      </c>
      <c r="W11">
        <v>49</v>
      </c>
      <c r="X11">
        <v>39</v>
      </c>
      <c r="Y11">
        <v>55.681818181818102</v>
      </c>
      <c r="Z11">
        <v>55.681818181818102</v>
      </c>
      <c r="AA11">
        <v>0</v>
      </c>
      <c r="AB11">
        <v>0</v>
      </c>
      <c r="AC11">
        <v>0</v>
      </c>
      <c r="AD11">
        <v>0</v>
      </c>
    </row>
    <row r="12" spans="1:30" x14ac:dyDescent="0.2">
      <c r="A12">
        <v>1</v>
      </c>
      <c r="B12" t="s">
        <v>39</v>
      </c>
      <c r="C12" t="s">
        <v>31</v>
      </c>
      <c r="D12">
        <v>63</v>
      </c>
      <c r="E12">
        <v>0</v>
      </c>
      <c r="F12">
        <v>29</v>
      </c>
      <c r="G12">
        <v>34</v>
      </c>
      <c r="H12">
        <v>46.031746031746003</v>
      </c>
      <c r="I12">
        <v>46.031746031746003</v>
      </c>
      <c r="J12">
        <v>189</v>
      </c>
      <c r="K12">
        <v>138</v>
      </c>
      <c r="L12">
        <v>51</v>
      </c>
      <c r="M12">
        <v>2898</v>
      </c>
      <c r="N12">
        <v>0.73015873015873001</v>
      </c>
      <c r="O12">
        <v>55</v>
      </c>
      <c r="P12">
        <v>8</v>
      </c>
      <c r="Q12">
        <v>87.301587301587304</v>
      </c>
      <c r="R12">
        <v>87.301587301587304</v>
      </c>
      <c r="S12">
        <v>50</v>
      </c>
      <c r="T12">
        <v>13</v>
      </c>
      <c r="U12">
        <v>79.365079365079296</v>
      </c>
      <c r="V12">
        <v>79.365079365079296</v>
      </c>
      <c r="W12">
        <v>33</v>
      </c>
      <c r="X12">
        <v>30</v>
      </c>
      <c r="Y12">
        <v>52.380952380952301</v>
      </c>
      <c r="Z12">
        <v>52.380952380952301</v>
      </c>
      <c r="AA12">
        <v>0</v>
      </c>
      <c r="AB12">
        <v>0</v>
      </c>
      <c r="AC12">
        <v>0</v>
      </c>
      <c r="AD12">
        <v>0</v>
      </c>
    </row>
    <row r="13" spans="1:30" x14ac:dyDescent="0.2">
      <c r="A13">
        <v>2</v>
      </c>
      <c r="B13" t="s">
        <v>39</v>
      </c>
      <c r="C13" t="s">
        <v>32</v>
      </c>
      <c r="D13">
        <v>66</v>
      </c>
      <c r="E13">
        <v>2</v>
      </c>
      <c r="F13">
        <v>21</v>
      </c>
      <c r="G13">
        <v>45</v>
      </c>
      <c r="H13">
        <v>31.818181818181799</v>
      </c>
      <c r="I13">
        <v>31.818181818181799</v>
      </c>
      <c r="J13">
        <v>198</v>
      </c>
      <c r="K13">
        <v>117</v>
      </c>
      <c r="L13">
        <v>81</v>
      </c>
      <c r="M13">
        <v>2574</v>
      </c>
      <c r="N13">
        <v>0.59090909090909005</v>
      </c>
      <c r="O13">
        <v>38</v>
      </c>
      <c r="P13">
        <v>28</v>
      </c>
      <c r="Q13">
        <v>57.5757575757575</v>
      </c>
      <c r="R13">
        <v>57.5757575757575</v>
      </c>
      <c r="S13">
        <v>58</v>
      </c>
      <c r="T13">
        <v>8</v>
      </c>
      <c r="U13">
        <v>87.878787878787804</v>
      </c>
      <c r="V13">
        <v>87.878787878787804</v>
      </c>
      <c r="W13">
        <v>21</v>
      </c>
      <c r="X13">
        <v>45</v>
      </c>
      <c r="Y13">
        <v>31.818181818181799</v>
      </c>
      <c r="Z13">
        <v>31.818181818181799</v>
      </c>
      <c r="AA13">
        <v>0</v>
      </c>
      <c r="AB13">
        <v>0</v>
      </c>
      <c r="AC13">
        <v>0</v>
      </c>
      <c r="AD13">
        <v>0</v>
      </c>
    </row>
    <row r="14" spans="1:30" x14ac:dyDescent="0.2">
      <c r="A14">
        <v>3</v>
      </c>
      <c r="B14" t="s">
        <v>39</v>
      </c>
      <c r="C14" t="s">
        <v>33</v>
      </c>
      <c r="D14">
        <v>28</v>
      </c>
      <c r="E14">
        <v>0</v>
      </c>
      <c r="F14">
        <v>9</v>
      </c>
      <c r="G14">
        <v>19</v>
      </c>
      <c r="H14">
        <v>32.142857142857103</v>
      </c>
      <c r="I14">
        <v>32.142857142857103</v>
      </c>
      <c r="J14">
        <v>84</v>
      </c>
      <c r="K14">
        <v>38</v>
      </c>
      <c r="L14">
        <v>46</v>
      </c>
      <c r="M14">
        <v>354.666666666666</v>
      </c>
      <c r="N14">
        <v>0.452380952380952</v>
      </c>
      <c r="O14">
        <v>16</v>
      </c>
      <c r="P14">
        <v>12</v>
      </c>
      <c r="Q14">
        <v>57.142857142857103</v>
      </c>
      <c r="R14">
        <v>57.142857142857103</v>
      </c>
      <c r="S14">
        <v>13</v>
      </c>
      <c r="T14">
        <v>15</v>
      </c>
      <c r="U14">
        <v>46.428571428571402</v>
      </c>
      <c r="V14">
        <v>46.428571428571402</v>
      </c>
      <c r="W14">
        <v>9</v>
      </c>
      <c r="X14">
        <v>19</v>
      </c>
      <c r="Y14">
        <v>32.142857142857103</v>
      </c>
      <c r="Z14">
        <v>32.142857142857103</v>
      </c>
      <c r="AA14">
        <v>44</v>
      </c>
      <c r="AB14">
        <v>22</v>
      </c>
      <c r="AC14">
        <v>157.142857142857</v>
      </c>
      <c r="AD14">
        <v>66.6666666666666</v>
      </c>
    </row>
    <row r="15" spans="1:30" x14ac:dyDescent="0.2">
      <c r="A15">
        <v>4</v>
      </c>
      <c r="B15" t="s">
        <v>39</v>
      </c>
      <c r="C15" t="s">
        <v>34</v>
      </c>
      <c r="D15">
        <v>34</v>
      </c>
      <c r="E15">
        <v>2</v>
      </c>
      <c r="F15">
        <v>0</v>
      </c>
      <c r="G15">
        <v>34</v>
      </c>
      <c r="H15">
        <v>0</v>
      </c>
      <c r="I15">
        <v>0</v>
      </c>
      <c r="J15">
        <v>102</v>
      </c>
      <c r="K15">
        <v>11</v>
      </c>
      <c r="L15">
        <v>91</v>
      </c>
      <c r="M15">
        <v>124.666666666666</v>
      </c>
      <c r="N15">
        <v>0.10784313725490099</v>
      </c>
      <c r="O15">
        <v>10</v>
      </c>
      <c r="P15">
        <v>24</v>
      </c>
      <c r="Q15">
        <v>29.411764705882302</v>
      </c>
      <c r="R15">
        <v>29.411764705882302</v>
      </c>
      <c r="S15">
        <v>1</v>
      </c>
      <c r="T15">
        <v>33</v>
      </c>
      <c r="U15">
        <v>2.9411764705882302</v>
      </c>
      <c r="V15">
        <v>2.9411764705882302</v>
      </c>
      <c r="W15">
        <v>0</v>
      </c>
      <c r="X15">
        <v>34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">
      <c r="A16">
        <v>5</v>
      </c>
      <c r="B16" t="s">
        <v>39</v>
      </c>
      <c r="C16" t="s">
        <v>35</v>
      </c>
      <c r="D16">
        <v>24</v>
      </c>
      <c r="E16">
        <v>0</v>
      </c>
      <c r="F16">
        <v>0</v>
      </c>
      <c r="G16">
        <v>24</v>
      </c>
      <c r="H16">
        <v>0</v>
      </c>
      <c r="I16">
        <v>0</v>
      </c>
      <c r="J16">
        <v>72</v>
      </c>
      <c r="K16">
        <v>30</v>
      </c>
      <c r="L16">
        <v>42</v>
      </c>
      <c r="M16">
        <v>240</v>
      </c>
      <c r="N16">
        <v>0.41666666666666602</v>
      </c>
      <c r="O16">
        <v>22</v>
      </c>
      <c r="P16">
        <v>2</v>
      </c>
      <c r="Q16">
        <v>91.6666666666666</v>
      </c>
      <c r="R16">
        <v>91.6666666666666</v>
      </c>
      <c r="S16">
        <v>8</v>
      </c>
      <c r="T16">
        <v>16</v>
      </c>
      <c r="U16">
        <v>33.3333333333333</v>
      </c>
      <c r="V16">
        <v>33.3333333333333</v>
      </c>
      <c r="W16">
        <v>0</v>
      </c>
      <c r="X16">
        <v>24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">
      <c r="A17">
        <v>6</v>
      </c>
      <c r="B17" t="s">
        <v>39</v>
      </c>
      <c r="C17" t="s">
        <v>36</v>
      </c>
      <c r="D17">
        <v>8</v>
      </c>
      <c r="E17">
        <v>0</v>
      </c>
      <c r="F17">
        <v>4</v>
      </c>
      <c r="G17">
        <v>4</v>
      </c>
      <c r="H17">
        <v>50</v>
      </c>
      <c r="I17">
        <v>50</v>
      </c>
      <c r="J17">
        <v>24</v>
      </c>
      <c r="K17">
        <v>20</v>
      </c>
      <c r="L17">
        <v>4</v>
      </c>
      <c r="M17">
        <v>53.3333333333333</v>
      </c>
      <c r="N17">
        <v>0.83333333333333304</v>
      </c>
      <c r="O17">
        <v>8</v>
      </c>
      <c r="P17">
        <v>0</v>
      </c>
      <c r="Q17">
        <v>100</v>
      </c>
      <c r="R17">
        <v>100</v>
      </c>
      <c r="S17">
        <v>8</v>
      </c>
      <c r="T17">
        <v>0</v>
      </c>
      <c r="U17">
        <v>100</v>
      </c>
      <c r="V17">
        <v>100</v>
      </c>
      <c r="W17">
        <v>4</v>
      </c>
      <c r="X17">
        <v>4</v>
      </c>
      <c r="Y17">
        <v>50</v>
      </c>
      <c r="Z17">
        <v>50</v>
      </c>
      <c r="AA17">
        <v>0</v>
      </c>
      <c r="AB17">
        <v>0</v>
      </c>
      <c r="AC17">
        <v>0</v>
      </c>
      <c r="AD17">
        <v>0</v>
      </c>
    </row>
    <row r="18" spans="1:30" x14ac:dyDescent="0.2">
      <c r="A18">
        <v>7</v>
      </c>
      <c r="B18" t="s">
        <v>39</v>
      </c>
      <c r="C18" t="s">
        <v>37</v>
      </c>
      <c r="D18">
        <v>13</v>
      </c>
      <c r="E18">
        <v>0</v>
      </c>
      <c r="F18">
        <v>13</v>
      </c>
      <c r="G18">
        <v>0</v>
      </c>
      <c r="H18">
        <v>100</v>
      </c>
      <c r="I18">
        <v>100</v>
      </c>
      <c r="J18">
        <v>39</v>
      </c>
      <c r="K18">
        <v>39</v>
      </c>
      <c r="L18">
        <v>0</v>
      </c>
      <c r="M18">
        <v>169</v>
      </c>
      <c r="N18">
        <v>1</v>
      </c>
      <c r="O18">
        <v>13</v>
      </c>
      <c r="P18">
        <v>0</v>
      </c>
      <c r="Q18">
        <v>100</v>
      </c>
      <c r="R18">
        <v>100</v>
      </c>
      <c r="S18">
        <v>13</v>
      </c>
      <c r="T18">
        <v>0</v>
      </c>
      <c r="U18">
        <v>100</v>
      </c>
      <c r="V18">
        <v>100</v>
      </c>
      <c r="W18">
        <v>13</v>
      </c>
      <c r="X18">
        <v>0</v>
      </c>
      <c r="Y18">
        <v>100</v>
      </c>
      <c r="Z18">
        <v>100</v>
      </c>
      <c r="AA18">
        <v>0</v>
      </c>
      <c r="AB18">
        <v>0</v>
      </c>
      <c r="AC18">
        <v>0</v>
      </c>
      <c r="AD18">
        <v>0</v>
      </c>
    </row>
    <row r="19" spans="1:30" x14ac:dyDescent="0.2">
      <c r="A19">
        <v>8</v>
      </c>
      <c r="B19" t="s">
        <v>39</v>
      </c>
      <c r="C19" t="s">
        <v>38</v>
      </c>
      <c r="D19">
        <v>7</v>
      </c>
      <c r="E19">
        <v>0</v>
      </c>
      <c r="F19">
        <v>5</v>
      </c>
      <c r="G19">
        <v>2</v>
      </c>
      <c r="H19">
        <v>71.428571428571402</v>
      </c>
      <c r="I19">
        <v>71.428571428571402</v>
      </c>
      <c r="J19">
        <v>21</v>
      </c>
      <c r="K19">
        <v>18</v>
      </c>
      <c r="L19">
        <v>3</v>
      </c>
      <c r="M19">
        <v>42</v>
      </c>
      <c r="N19">
        <v>0.85714285714285698</v>
      </c>
      <c r="O19">
        <v>7</v>
      </c>
      <c r="P19">
        <v>0</v>
      </c>
      <c r="Q19">
        <v>100</v>
      </c>
      <c r="R19">
        <v>100</v>
      </c>
      <c r="S19">
        <v>6</v>
      </c>
      <c r="T19">
        <v>1</v>
      </c>
      <c r="U19">
        <v>85.714285714285694</v>
      </c>
      <c r="V19">
        <v>85.714285714285694</v>
      </c>
      <c r="W19">
        <v>5</v>
      </c>
      <c r="X19">
        <v>2</v>
      </c>
      <c r="Y19">
        <v>71.428571428571402</v>
      </c>
      <c r="Z19">
        <v>71.428571428571402</v>
      </c>
      <c r="AA19">
        <v>0</v>
      </c>
      <c r="AB19">
        <v>0</v>
      </c>
      <c r="AC19">
        <v>0</v>
      </c>
      <c r="AD19">
        <v>0</v>
      </c>
    </row>
    <row r="20" spans="1:30" x14ac:dyDescent="0.2">
      <c r="A20">
        <v>0</v>
      </c>
      <c r="B20" t="s">
        <v>29</v>
      </c>
      <c r="C20" t="s">
        <v>30</v>
      </c>
      <c r="D20">
        <v>88</v>
      </c>
      <c r="E20">
        <v>27</v>
      </c>
      <c r="F20">
        <v>24</v>
      </c>
      <c r="G20">
        <v>64</v>
      </c>
      <c r="H20">
        <v>27.272727272727199</v>
      </c>
      <c r="I20">
        <v>27.272727272727199</v>
      </c>
      <c r="J20">
        <v>264</v>
      </c>
      <c r="K20">
        <v>126</v>
      </c>
      <c r="L20">
        <v>138</v>
      </c>
      <c r="M20">
        <v>3696</v>
      </c>
      <c r="N20">
        <v>0.47727272727272702</v>
      </c>
      <c r="O20">
        <v>43</v>
      </c>
      <c r="P20">
        <v>45</v>
      </c>
      <c r="Q20">
        <v>48.863636363636303</v>
      </c>
      <c r="R20">
        <v>48.863636363636303</v>
      </c>
      <c r="S20">
        <v>51</v>
      </c>
      <c r="T20">
        <v>37</v>
      </c>
      <c r="U20">
        <v>57.954545454545404</v>
      </c>
      <c r="V20">
        <v>57.954545454545404</v>
      </c>
      <c r="W20">
        <v>32</v>
      </c>
      <c r="X20">
        <v>56</v>
      </c>
      <c r="Y20">
        <v>36.363636363636303</v>
      </c>
      <c r="Z20">
        <v>36.363636363636303</v>
      </c>
      <c r="AA20">
        <v>0</v>
      </c>
      <c r="AB20">
        <v>0</v>
      </c>
      <c r="AC20">
        <v>0</v>
      </c>
      <c r="AD20">
        <v>0</v>
      </c>
    </row>
    <row r="21" spans="1:30" x14ac:dyDescent="0.2">
      <c r="A21">
        <v>1</v>
      </c>
      <c r="B21" t="s">
        <v>29</v>
      </c>
      <c r="C21" t="s">
        <v>31</v>
      </c>
      <c r="D21">
        <v>63</v>
      </c>
      <c r="E21">
        <v>14</v>
      </c>
      <c r="F21">
        <v>24</v>
      </c>
      <c r="G21">
        <v>39</v>
      </c>
      <c r="H21">
        <v>38.095238095238003</v>
      </c>
      <c r="I21">
        <v>38.095238095238003</v>
      </c>
      <c r="J21">
        <v>189</v>
      </c>
      <c r="K21">
        <v>102</v>
      </c>
      <c r="L21">
        <v>87</v>
      </c>
      <c r="M21">
        <v>2142</v>
      </c>
      <c r="N21">
        <v>0.53968253968253899</v>
      </c>
      <c r="O21">
        <v>36</v>
      </c>
      <c r="P21">
        <v>27</v>
      </c>
      <c r="Q21">
        <v>57.142857142857103</v>
      </c>
      <c r="R21">
        <v>57.142857142857103</v>
      </c>
      <c r="S21">
        <v>35</v>
      </c>
      <c r="T21">
        <v>28</v>
      </c>
      <c r="U21">
        <v>55.5555555555555</v>
      </c>
      <c r="V21">
        <v>55.5555555555555</v>
      </c>
      <c r="W21">
        <v>31</v>
      </c>
      <c r="X21">
        <v>32</v>
      </c>
      <c r="Y21">
        <v>49.206349206349202</v>
      </c>
      <c r="Z21">
        <v>49.206349206349202</v>
      </c>
      <c r="AA21">
        <v>0</v>
      </c>
      <c r="AB21">
        <v>0</v>
      </c>
      <c r="AC21">
        <v>0</v>
      </c>
      <c r="AD21">
        <v>0</v>
      </c>
    </row>
    <row r="22" spans="1:30" x14ac:dyDescent="0.2">
      <c r="A22">
        <v>2</v>
      </c>
      <c r="B22" t="s">
        <v>29</v>
      </c>
      <c r="C22" t="s">
        <v>32</v>
      </c>
      <c r="D22">
        <v>66</v>
      </c>
      <c r="E22">
        <v>3</v>
      </c>
      <c r="F22">
        <v>12</v>
      </c>
      <c r="G22">
        <v>54</v>
      </c>
      <c r="H22">
        <v>18.181818181818102</v>
      </c>
      <c r="I22">
        <v>18.181818181818102</v>
      </c>
      <c r="J22">
        <v>198</v>
      </c>
      <c r="K22">
        <v>98</v>
      </c>
      <c r="L22">
        <v>100</v>
      </c>
      <c r="M22">
        <v>2156</v>
      </c>
      <c r="N22">
        <v>0.49494949494949497</v>
      </c>
      <c r="O22">
        <v>33</v>
      </c>
      <c r="P22">
        <v>33</v>
      </c>
      <c r="Q22">
        <v>50</v>
      </c>
      <c r="R22">
        <v>50</v>
      </c>
      <c r="S22">
        <v>44</v>
      </c>
      <c r="T22">
        <v>22</v>
      </c>
      <c r="U22">
        <v>66.6666666666666</v>
      </c>
      <c r="V22">
        <v>66.6666666666666</v>
      </c>
      <c r="W22">
        <v>21</v>
      </c>
      <c r="X22">
        <v>45</v>
      </c>
      <c r="Y22">
        <v>31.818181818181799</v>
      </c>
      <c r="Z22">
        <v>31.818181818181799</v>
      </c>
      <c r="AA22">
        <v>0</v>
      </c>
      <c r="AB22">
        <v>0</v>
      </c>
      <c r="AC22">
        <v>0</v>
      </c>
      <c r="AD22">
        <v>0</v>
      </c>
    </row>
    <row r="23" spans="1:30" x14ac:dyDescent="0.2">
      <c r="A23">
        <v>3</v>
      </c>
      <c r="B23" t="s">
        <v>29</v>
      </c>
      <c r="C23" t="s">
        <v>33</v>
      </c>
      <c r="D23">
        <v>28</v>
      </c>
      <c r="E23">
        <v>15</v>
      </c>
      <c r="F23">
        <v>6</v>
      </c>
      <c r="G23">
        <v>22</v>
      </c>
      <c r="H23">
        <v>21.428571428571399</v>
      </c>
      <c r="I23">
        <v>21.428571428571399</v>
      </c>
      <c r="J23">
        <v>84</v>
      </c>
      <c r="K23">
        <v>29</v>
      </c>
      <c r="L23">
        <v>55</v>
      </c>
      <c r="M23">
        <v>270.666666666666</v>
      </c>
      <c r="N23">
        <v>0.34523809523809501</v>
      </c>
      <c r="O23">
        <v>10</v>
      </c>
      <c r="P23">
        <v>18</v>
      </c>
      <c r="Q23">
        <v>35.714285714285701</v>
      </c>
      <c r="R23">
        <v>35.714285714285701</v>
      </c>
      <c r="S23">
        <v>13</v>
      </c>
      <c r="T23">
        <v>15</v>
      </c>
      <c r="U23">
        <v>46.428571428571402</v>
      </c>
      <c r="V23">
        <v>46.428571428571402</v>
      </c>
      <c r="W23">
        <v>6</v>
      </c>
      <c r="X23">
        <v>22</v>
      </c>
      <c r="Y23">
        <v>21.428571428571399</v>
      </c>
      <c r="Z23">
        <v>21.428571428571399</v>
      </c>
      <c r="AA23">
        <v>18</v>
      </c>
      <c r="AB23">
        <v>12</v>
      </c>
      <c r="AC23">
        <v>64.285714285714207</v>
      </c>
      <c r="AD23">
        <v>60</v>
      </c>
    </row>
    <row r="24" spans="1:30" x14ac:dyDescent="0.2">
      <c r="A24">
        <v>4</v>
      </c>
      <c r="B24" t="s">
        <v>29</v>
      </c>
      <c r="C24" t="s">
        <v>34</v>
      </c>
      <c r="D24">
        <v>34</v>
      </c>
      <c r="E24">
        <v>3</v>
      </c>
      <c r="F24">
        <v>0</v>
      </c>
      <c r="G24">
        <v>34</v>
      </c>
      <c r="H24">
        <v>0</v>
      </c>
      <c r="I24">
        <v>0</v>
      </c>
      <c r="J24">
        <v>102</v>
      </c>
      <c r="K24">
        <v>8</v>
      </c>
      <c r="L24">
        <v>94</v>
      </c>
      <c r="M24">
        <v>90.6666666666666</v>
      </c>
      <c r="N24">
        <v>7.8431372549018996E-2</v>
      </c>
      <c r="O24">
        <v>7</v>
      </c>
      <c r="P24">
        <v>27</v>
      </c>
      <c r="Q24">
        <v>20.588235294117599</v>
      </c>
      <c r="R24">
        <v>20.588235294117599</v>
      </c>
      <c r="S24">
        <v>1</v>
      </c>
      <c r="T24">
        <v>33</v>
      </c>
      <c r="U24">
        <v>2.9411764705882302</v>
      </c>
      <c r="V24">
        <v>2.9411764705882302</v>
      </c>
      <c r="W24">
        <v>0</v>
      </c>
      <c r="X24">
        <v>34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">
      <c r="A25">
        <v>5</v>
      </c>
      <c r="B25" t="s">
        <v>29</v>
      </c>
      <c r="C25" t="s">
        <v>35</v>
      </c>
      <c r="D25">
        <v>24</v>
      </c>
      <c r="E25">
        <v>4</v>
      </c>
      <c r="F25">
        <v>0</v>
      </c>
      <c r="G25">
        <v>24</v>
      </c>
      <c r="H25">
        <v>0</v>
      </c>
      <c r="I25">
        <v>0</v>
      </c>
      <c r="J25">
        <v>72</v>
      </c>
      <c r="K25">
        <v>22</v>
      </c>
      <c r="L25">
        <v>50</v>
      </c>
      <c r="M25">
        <v>176</v>
      </c>
      <c r="N25">
        <v>0.30555555555555503</v>
      </c>
      <c r="O25">
        <v>17</v>
      </c>
      <c r="P25">
        <v>7</v>
      </c>
      <c r="Q25">
        <v>70.8333333333333</v>
      </c>
      <c r="R25">
        <v>70.8333333333333</v>
      </c>
      <c r="S25">
        <v>5</v>
      </c>
      <c r="T25">
        <v>19</v>
      </c>
      <c r="U25">
        <v>20.8333333333333</v>
      </c>
      <c r="V25">
        <v>20.8333333333333</v>
      </c>
      <c r="W25">
        <v>0</v>
      </c>
      <c r="X25">
        <v>24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">
      <c r="A26">
        <v>6</v>
      </c>
      <c r="B26" t="s">
        <v>29</v>
      </c>
      <c r="C26" t="s">
        <v>36</v>
      </c>
      <c r="D26">
        <v>8</v>
      </c>
      <c r="E26">
        <v>0</v>
      </c>
      <c r="F26">
        <v>4</v>
      </c>
      <c r="G26">
        <v>4</v>
      </c>
      <c r="H26">
        <v>50</v>
      </c>
      <c r="I26">
        <v>50</v>
      </c>
      <c r="J26">
        <v>24</v>
      </c>
      <c r="K26">
        <v>20</v>
      </c>
      <c r="L26">
        <v>4</v>
      </c>
      <c r="M26">
        <v>53.3333333333333</v>
      </c>
      <c r="N26">
        <v>0.83333333333333304</v>
      </c>
      <c r="O26">
        <v>8</v>
      </c>
      <c r="P26">
        <v>0</v>
      </c>
      <c r="Q26">
        <v>100</v>
      </c>
      <c r="R26">
        <v>100</v>
      </c>
      <c r="S26">
        <v>8</v>
      </c>
      <c r="T26">
        <v>0</v>
      </c>
      <c r="U26">
        <v>100</v>
      </c>
      <c r="V26">
        <v>100</v>
      </c>
      <c r="W26">
        <v>4</v>
      </c>
      <c r="X26">
        <v>4</v>
      </c>
      <c r="Y26">
        <v>50</v>
      </c>
      <c r="Z26">
        <v>50</v>
      </c>
      <c r="AA26">
        <v>0</v>
      </c>
      <c r="AB26">
        <v>0</v>
      </c>
      <c r="AC26">
        <v>0</v>
      </c>
      <c r="AD26">
        <v>0</v>
      </c>
    </row>
    <row r="27" spans="1:30" x14ac:dyDescent="0.2">
      <c r="A27">
        <v>7</v>
      </c>
      <c r="B27" t="s">
        <v>29</v>
      </c>
      <c r="C27" t="s">
        <v>37</v>
      </c>
      <c r="D27">
        <v>13</v>
      </c>
      <c r="E27">
        <v>1</v>
      </c>
      <c r="F27">
        <v>0</v>
      </c>
      <c r="G27">
        <v>13</v>
      </c>
      <c r="H27">
        <v>0</v>
      </c>
      <c r="I27">
        <v>0</v>
      </c>
      <c r="J27">
        <v>39</v>
      </c>
      <c r="K27">
        <v>21</v>
      </c>
      <c r="L27">
        <v>18</v>
      </c>
      <c r="M27">
        <v>91</v>
      </c>
      <c r="N27">
        <v>0.53846153846153799</v>
      </c>
      <c r="O27">
        <v>12</v>
      </c>
      <c r="P27">
        <v>1</v>
      </c>
      <c r="Q27">
        <v>92.307692307692307</v>
      </c>
      <c r="R27">
        <v>92.307692307692307</v>
      </c>
      <c r="S27">
        <v>9</v>
      </c>
      <c r="T27">
        <v>4</v>
      </c>
      <c r="U27">
        <v>69.230769230769198</v>
      </c>
      <c r="V27">
        <v>69.230769230769198</v>
      </c>
      <c r="W27">
        <v>0</v>
      </c>
      <c r="X27">
        <v>13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">
      <c r="A28">
        <v>8</v>
      </c>
      <c r="B28" t="s">
        <v>29</v>
      </c>
      <c r="C28" t="s">
        <v>38</v>
      </c>
      <c r="D28">
        <v>7</v>
      </c>
      <c r="E28">
        <v>1</v>
      </c>
      <c r="F28">
        <v>3</v>
      </c>
      <c r="G28">
        <v>4</v>
      </c>
      <c r="H28">
        <v>42.857142857142797</v>
      </c>
      <c r="I28">
        <v>42.857142857142797</v>
      </c>
      <c r="J28">
        <v>21</v>
      </c>
      <c r="K28">
        <v>12</v>
      </c>
      <c r="L28">
        <v>9</v>
      </c>
      <c r="M28">
        <v>28</v>
      </c>
      <c r="N28">
        <v>0.57142857142857095</v>
      </c>
      <c r="O28">
        <v>6</v>
      </c>
      <c r="P28">
        <v>1</v>
      </c>
      <c r="Q28">
        <v>85.714285714285694</v>
      </c>
      <c r="R28">
        <v>85.714285714285694</v>
      </c>
      <c r="S28">
        <v>3</v>
      </c>
      <c r="T28">
        <v>4</v>
      </c>
      <c r="U28">
        <v>42.857142857142797</v>
      </c>
      <c r="V28">
        <v>42.857142857142797</v>
      </c>
      <c r="W28">
        <v>3</v>
      </c>
      <c r="X28">
        <v>4</v>
      </c>
      <c r="Y28">
        <v>42.857142857142797</v>
      </c>
      <c r="Z28">
        <v>42.857142857142797</v>
      </c>
      <c r="AA28">
        <v>0</v>
      </c>
      <c r="AB28">
        <v>0</v>
      </c>
      <c r="AC28">
        <v>0</v>
      </c>
      <c r="AD28">
        <v>0</v>
      </c>
    </row>
    <row r="29" spans="1:30" x14ac:dyDescent="0.2">
      <c r="A29">
        <v>0</v>
      </c>
      <c r="B29" t="s">
        <v>40</v>
      </c>
      <c r="C29" t="s">
        <v>30</v>
      </c>
      <c r="D29">
        <v>88</v>
      </c>
      <c r="E29">
        <v>2</v>
      </c>
      <c r="F29">
        <v>45</v>
      </c>
      <c r="G29">
        <v>43</v>
      </c>
      <c r="H29">
        <v>51.136363636363598</v>
      </c>
      <c r="I29">
        <v>51.136363636363598</v>
      </c>
      <c r="J29">
        <v>264</v>
      </c>
      <c r="K29">
        <v>177</v>
      </c>
      <c r="L29">
        <v>87</v>
      </c>
      <c r="M29">
        <v>5192</v>
      </c>
      <c r="N29">
        <v>0.67045454545454497</v>
      </c>
      <c r="O29">
        <v>68</v>
      </c>
      <c r="P29">
        <v>20</v>
      </c>
      <c r="Q29">
        <v>77.272727272727195</v>
      </c>
      <c r="R29">
        <v>77.272727272727195</v>
      </c>
      <c r="S29">
        <v>60</v>
      </c>
      <c r="T29">
        <v>28</v>
      </c>
      <c r="U29">
        <v>68.181818181818102</v>
      </c>
      <c r="V29">
        <v>68.181818181818102</v>
      </c>
      <c r="W29">
        <v>49</v>
      </c>
      <c r="X29">
        <v>39</v>
      </c>
      <c r="Y29">
        <v>55.681818181818102</v>
      </c>
      <c r="Z29">
        <v>55.681818181818102</v>
      </c>
      <c r="AA29">
        <v>0</v>
      </c>
      <c r="AB29">
        <v>0</v>
      </c>
      <c r="AC29">
        <v>0</v>
      </c>
      <c r="AD29">
        <v>0</v>
      </c>
    </row>
    <row r="30" spans="1:30" x14ac:dyDescent="0.2">
      <c r="A30">
        <v>1</v>
      </c>
      <c r="B30" t="s">
        <v>39</v>
      </c>
      <c r="C30" t="s">
        <v>31</v>
      </c>
      <c r="D30">
        <v>63</v>
      </c>
      <c r="E30">
        <v>0</v>
      </c>
      <c r="F30">
        <v>29</v>
      </c>
      <c r="G30">
        <v>34</v>
      </c>
      <c r="H30">
        <v>46.031746031746003</v>
      </c>
      <c r="I30">
        <v>46.031746031746003</v>
      </c>
      <c r="J30">
        <v>189</v>
      </c>
      <c r="K30">
        <v>138</v>
      </c>
      <c r="L30">
        <v>51</v>
      </c>
      <c r="M30">
        <v>2898</v>
      </c>
      <c r="N30">
        <v>0.73015873015873001</v>
      </c>
      <c r="O30">
        <v>55</v>
      </c>
      <c r="P30">
        <v>8</v>
      </c>
      <c r="Q30">
        <v>87.301587301587304</v>
      </c>
      <c r="R30">
        <v>87.301587301587304</v>
      </c>
      <c r="S30">
        <v>50</v>
      </c>
      <c r="T30">
        <v>13</v>
      </c>
      <c r="U30">
        <v>79.365079365079296</v>
      </c>
      <c r="V30">
        <v>79.365079365079296</v>
      </c>
      <c r="W30">
        <v>33</v>
      </c>
      <c r="X30">
        <v>30</v>
      </c>
      <c r="Y30">
        <v>52.380952380952301</v>
      </c>
      <c r="Z30">
        <v>52.380952380952301</v>
      </c>
      <c r="AA30">
        <v>0</v>
      </c>
      <c r="AB30">
        <v>0</v>
      </c>
      <c r="AC30">
        <v>0</v>
      </c>
      <c r="AD30">
        <v>0</v>
      </c>
    </row>
    <row r="31" spans="1:30" x14ac:dyDescent="0.2">
      <c r="A31">
        <v>2</v>
      </c>
      <c r="B31" t="s">
        <v>39</v>
      </c>
      <c r="C31" t="s">
        <v>32</v>
      </c>
      <c r="D31">
        <v>66</v>
      </c>
      <c r="E31">
        <v>2</v>
      </c>
      <c r="F31">
        <v>21</v>
      </c>
      <c r="G31">
        <v>45</v>
      </c>
      <c r="H31">
        <v>31.818181818181799</v>
      </c>
      <c r="I31">
        <v>31.818181818181799</v>
      </c>
      <c r="J31">
        <v>198</v>
      </c>
      <c r="K31">
        <v>117</v>
      </c>
      <c r="L31">
        <v>81</v>
      </c>
      <c r="M31">
        <v>2574</v>
      </c>
      <c r="N31">
        <v>0.59090909090909005</v>
      </c>
      <c r="O31">
        <v>38</v>
      </c>
      <c r="P31">
        <v>28</v>
      </c>
      <c r="Q31">
        <v>57.5757575757575</v>
      </c>
      <c r="R31">
        <v>57.5757575757575</v>
      </c>
      <c r="S31">
        <v>58</v>
      </c>
      <c r="T31">
        <v>8</v>
      </c>
      <c r="U31">
        <v>87.878787878787804</v>
      </c>
      <c r="V31">
        <v>87.878787878787804</v>
      </c>
      <c r="W31">
        <v>21</v>
      </c>
      <c r="X31">
        <v>45</v>
      </c>
      <c r="Y31">
        <v>31.818181818181799</v>
      </c>
      <c r="Z31">
        <v>31.818181818181799</v>
      </c>
      <c r="AA31">
        <v>0</v>
      </c>
      <c r="AB31">
        <v>0</v>
      </c>
      <c r="AC31">
        <v>0</v>
      </c>
      <c r="AD31">
        <v>0</v>
      </c>
    </row>
    <row r="32" spans="1:30" x14ac:dyDescent="0.2">
      <c r="A32">
        <v>3</v>
      </c>
      <c r="B32" t="s">
        <v>39</v>
      </c>
      <c r="C32" t="s">
        <v>33</v>
      </c>
      <c r="D32">
        <v>28</v>
      </c>
      <c r="E32">
        <v>0</v>
      </c>
      <c r="F32">
        <v>9</v>
      </c>
      <c r="G32">
        <v>19</v>
      </c>
      <c r="H32">
        <v>32.142857142857103</v>
      </c>
      <c r="I32">
        <v>32.142857142857103</v>
      </c>
      <c r="J32">
        <v>84</v>
      </c>
      <c r="K32">
        <v>38</v>
      </c>
      <c r="L32">
        <v>46</v>
      </c>
      <c r="M32">
        <v>354.666666666666</v>
      </c>
      <c r="N32">
        <v>0.452380952380952</v>
      </c>
      <c r="O32">
        <v>16</v>
      </c>
      <c r="P32">
        <v>12</v>
      </c>
      <c r="Q32">
        <v>57.142857142857103</v>
      </c>
      <c r="R32">
        <v>57.142857142857103</v>
      </c>
      <c r="S32">
        <v>13</v>
      </c>
      <c r="T32">
        <v>15</v>
      </c>
      <c r="U32">
        <v>46.428571428571402</v>
      </c>
      <c r="V32">
        <v>46.428571428571402</v>
      </c>
      <c r="W32">
        <v>9</v>
      </c>
      <c r="X32">
        <v>19</v>
      </c>
      <c r="Y32">
        <v>32.142857142857103</v>
      </c>
      <c r="Z32">
        <v>32.142857142857103</v>
      </c>
      <c r="AA32">
        <v>44</v>
      </c>
      <c r="AB32">
        <v>22</v>
      </c>
      <c r="AC32">
        <v>157.142857142857</v>
      </c>
      <c r="AD32">
        <v>66.6666666666666</v>
      </c>
    </row>
    <row r="33" spans="1:30" x14ac:dyDescent="0.2">
      <c r="A33">
        <v>4</v>
      </c>
      <c r="B33" t="s">
        <v>39</v>
      </c>
      <c r="C33" t="s">
        <v>34</v>
      </c>
      <c r="D33">
        <v>34</v>
      </c>
      <c r="E33">
        <v>2</v>
      </c>
      <c r="F33">
        <v>0</v>
      </c>
      <c r="G33">
        <v>34</v>
      </c>
      <c r="H33">
        <v>0</v>
      </c>
      <c r="I33">
        <v>0</v>
      </c>
      <c r="J33">
        <v>102</v>
      </c>
      <c r="K33">
        <v>11</v>
      </c>
      <c r="L33">
        <v>91</v>
      </c>
      <c r="M33">
        <v>124.666666666666</v>
      </c>
      <c r="N33">
        <v>0.10784313725490099</v>
      </c>
      <c r="O33">
        <v>10</v>
      </c>
      <c r="P33">
        <v>24</v>
      </c>
      <c r="Q33">
        <v>29.411764705882302</v>
      </c>
      <c r="R33">
        <v>29.411764705882302</v>
      </c>
      <c r="S33">
        <v>1</v>
      </c>
      <c r="T33">
        <v>33</v>
      </c>
      <c r="U33">
        <v>2.9411764705882302</v>
      </c>
      <c r="V33">
        <v>2.9411764705882302</v>
      </c>
      <c r="W33">
        <v>0</v>
      </c>
      <c r="X33">
        <v>34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">
      <c r="A34">
        <v>5</v>
      </c>
      <c r="B34" t="s">
        <v>39</v>
      </c>
      <c r="C34" t="s">
        <v>35</v>
      </c>
      <c r="D34">
        <v>24</v>
      </c>
      <c r="E34">
        <v>0</v>
      </c>
      <c r="F34">
        <v>0</v>
      </c>
      <c r="G34">
        <v>24</v>
      </c>
      <c r="H34">
        <v>0</v>
      </c>
      <c r="I34">
        <v>0</v>
      </c>
      <c r="J34">
        <v>72</v>
      </c>
      <c r="K34">
        <v>30</v>
      </c>
      <c r="L34">
        <v>42</v>
      </c>
      <c r="M34">
        <v>240</v>
      </c>
      <c r="N34">
        <v>0.41666666666666602</v>
      </c>
      <c r="O34">
        <v>22</v>
      </c>
      <c r="P34">
        <v>2</v>
      </c>
      <c r="Q34">
        <v>91.6666666666666</v>
      </c>
      <c r="R34">
        <v>91.6666666666666</v>
      </c>
      <c r="S34">
        <v>8</v>
      </c>
      <c r="T34">
        <v>16</v>
      </c>
      <c r="U34">
        <v>33.3333333333333</v>
      </c>
      <c r="V34">
        <v>33.3333333333333</v>
      </c>
      <c r="W34">
        <v>0</v>
      </c>
      <c r="X34">
        <v>24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">
      <c r="A35">
        <v>6</v>
      </c>
      <c r="B35" t="s">
        <v>39</v>
      </c>
      <c r="C35" t="s">
        <v>36</v>
      </c>
      <c r="D35">
        <v>8</v>
      </c>
      <c r="E35">
        <v>0</v>
      </c>
      <c r="F35">
        <v>4</v>
      </c>
      <c r="G35">
        <v>4</v>
      </c>
      <c r="H35">
        <v>50</v>
      </c>
      <c r="I35">
        <v>50</v>
      </c>
      <c r="J35">
        <v>24</v>
      </c>
      <c r="K35">
        <v>20</v>
      </c>
      <c r="L35">
        <v>4</v>
      </c>
      <c r="M35">
        <v>53.3333333333333</v>
      </c>
      <c r="N35">
        <v>0.83333333333333304</v>
      </c>
      <c r="O35">
        <v>8</v>
      </c>
      <c r="P35">
        <v>0</v>
      </c>
      <c r="Q35">
        <v>100</v>
      </c>
      <c r="R35">
        <v>100</v>
      </c>
      <c r="S35">
        <v>8</v>
      </c>
      <c r="T35">
        <v>0</v>
      </c>
      <c r="U35">
        <v>100</v>
      </c>
      <c r="V35">
        <v>100</v>
      </c>
      <c r="W35">
        <v>4</v>
      </c>
      <c r="X35">
        <v>4</v>
      </c>
      <c r="Y35">
        <v>50</v>
      </c>
      <c r="Z35">
        <v>50</v>
      </c>
      <c r="AA35">
        <v>0</v>
      </c>
      <c r="AB35">
        <v>0</v>
      </c>
      <c r="AC35">
        <v>0</v>
      </c>
      <c r="AD35">
        <v>0</v>
      </c>
    </row>
    <row r="36" spans="1:30" x14ac:dyDescent="0.2">
      <c r="A36">
        <v>7</v>
      </c>
      <c r="B36" t="s">
        <v>39</v>
      </c>
      <c r="C36" t="s">
        <v>37</v>
      </c>
      <c r="D36">
        <v>13</v>
      </c>
      <c r="E36">
        <v>0</v>
      </c>
      <c r="F36">
        <v>13</v>
      </c>
      <c r="G36">
        <v>0</v>
      </c>
      <c r="H36">
        <v>100</v>
      </c>
      <c r="I36">
        <v>100</v>
      </c>
      <c r="J36">
        <v>39</v>
      </c>
      <c r="K36">
        <v>39</v>
      </c>
      <c r="L36">
        <v>0</v>
      </c>
      <c r="M36">
        <v>169</v>
      </c>
      <c r="N36">
        <v>1</v>
      </c>
      <c r="O36">
        <v>13</v>
      </c>
      <c r="P36">
        <v>0</v>
      </c>
      <c r="Q36">
        <v>100</v>
      </c>
      <c r="R36">
        <v>100</v>
      </c>
      <c r="S36">
        <v>13</v>
      </c>
      <c r="T36">
        <v>0</v>
      </c>
      <c r="U36">
        <v>100</v>
      </c>
      <c r="V36">
        <v>100</v>
      </c>
      <c r="W36">
        <v>13</v>
      </c>
      <c r="X36">
        <v>0</v>
      </c>
      <c r="Y36">
        <v>100</v>
      </c>
      <c r="Z36">
        <v>100</v>
      </c>
      <c r="AA36">
        <v>0</v>
      </c>
      <c r="AB36">
        <v>0</v>
      </c>
      <c r="AC36">
        <v>0</v>
      </c>
      <c r="AD36">
        <v>0</v>
      </c>
    </row>
    <row r="37" spans="1:30" x14ac:dyDescent="0.2">
      <c r="A37">
        <v>8</v>
      </c>
      <c r="B37" t="s">
        <v>39</v>
      </c>
      <c r="C37" t="s">
        <v>38</v>
      </c>
      <c r="D37">
        <v>7</v>
      </c>
      <c r="E37">
        <v>0</v>
      </c>
      <c r="F37">
        <v>5</v>
      </c>
      <c r="G37">
        <v>2</v>
      </c>
      <c r="H37">
        <v>71.428571428571402</v>
      </c>
      <c r="I37">
        <v>71.428571428571402</v>
      </c>
      <c r="J37">
        <v>21</v>
      </c>
      <c r="K37">
        <v>18</v>
      </c>
      <c r="L37">
        <v>3</v>
      </c>
      <c r="M37">
        <v>42</v>
      </c>
      <c r="N37">
        <v>0.85714285714285698</v>
      </c>
      <c r="O37">
        <v>7</v>
      </c>
      <c r="P37">
        <v>0</v>
      </c>
      <c r="Q37">
        <v>100</v>
      </c>
      <c r="R37">
        <v>100</v>
      </c>
      <c r="S37">
        <v>6</v>
      </c>
      <c r="T37">
        <v>1</v>
      </c>
      <c r="U37">
        <v>85.714285714285694</v>
      </c>
      <c r="V37">
        <v>85.714285714285694</v>
      </c>
      <c r="W37">
        <v>5</v>
      </c>
      <c r="X37">
        <v>2</v>
      </c>
      <c r="Y37">
        <v>71.428571428571402</v>
      </c>
      <c r="Z37">
        <v>71.428571428571402</v>
      </c>
      <c r="AA37">
        <v>0</v>
      </c>
      <c r="AB37">
        <v>0</v>
      </c>
      <c r="AC37">
        <v>0</v>
      </c>
      <c r="AD37">
        <v>0</v>
      </c>
    </row>
    <row r="38" spans="1:30" x14ac:dyDescent="0.2">
      <c r="A38">
        <v>0</v>
      </c>
      <c r="B38" t="s">
        <v>41</v>
      </c>
      <c r="C38" t="s">
        <v>30</v>
      </c>
      <c r="D38">
        <v>88</v>
      </c>
      <c r="E38">
        <v>40</v>
      </c>
      <c r="F38">
        <v>10</v>
      </c>
      <c r="G38">
        <v>78</v>
      </c>
      <c r="H38">
        <v>11.363636363636299</v>
      </c>
      <c r="I38">
        <v>11.363636363636299</v>
      </c>
      <c r="J38">
        <v>264</v>
      </c>
      <c r="K38">
        <v>92</v>
      </c>
      <c r="L38">
        <v>172</v>
      </c>
      <c r="M38">
        <v>2698.6666666666601</v>
      </c>
      <c r="N38">
        <v>0.34848484848484801</v>
      </c>
      <c r="O38">
        <v>37</v>
      </c>
      <c r="P38">
        <v>51</v>
      </c>
      <c r="Q38">
        <v>42.045454545454497</v>
      </c>
      <c r="R38">
        <v>42.045454545454497</v>
      </c>
      <c r="S38">
        <v>21</v>
      </c>
      <c r="T38">
        <v>67</v>
      </c>
      <c r="U38">
        <v>23.863636363636299</v>
      </c>
      <c r="V38">
        <v>23.863636363636299</v>
      </c>
      <c r="W38">
        <v>34</v>
      </c>
      <c r="X38">
        <v>54</v>
      </c>
      <c r="Y38">
        <v>38.636363636363598</v>
      </c>
      <c r="Z38">
        <v>38.636363636363598</v>
      </c>
      <c r="AA38">
        <v>0</v>
      </c>
      <c r="AB38">
        <v>0</v>
      </c>
      <c r="AC38">
        <v>0</v>
      </c>
      <c r="AD38">
        <v>0</v>
      </c>
    </row>
    <row r="39" spans="1:30" x14ac:dyDescent="0.2">
      <c r="A39">
        <v>1</v>
      </c>
      <c r="B39" t="s">
        <v>41</v>
      </c>
      <c r="C39" t="s">
        <v>31</v>
      </c>
      <c r="D39">
        <v>63</v>
      </c>
      <c r="E39">
        <v>24</v>
      </c>
      <c r="F39">
        <v>10</v>
      </c>
      <c r="G39">
        <v>53</v>
      </c>
      <c r="H39">
        <v>15.873015873015801</v>
      </c>
      <c r="I39">
        <v>15.873015873015801</v>
      </c>
      <c r="J39">
        <v>189</v>
      </c>
      <c r="K39">
        <v>79</v>
      </c>
      <c r="L39">
        <v>110</v>
      </c>
      <c r="M39">
        <v>1659</v>
      </c>
      <c r="N39">
        <v>0.41798941798941702</v>
      </c>
      <c r="O39">
        <v>35</v>
      </c>
      <c r="P39">
        <v>28</v>
      </c>
      <c r="Q39">
        <v>55.5555555555555</v>
      </c>
      <c r="R39">
        <v>55.5555555555555</v>
      </c>
      <c r="S39">
        <v>16</v>
      </c>
      <c r="T39">
        <v>47</v>
      </c>
      <c r="U39">
        <v>25.396825396825299</v>
      </c>
      <c r="V39">
        <v>25.396825396825299</v>
      </c>
      <c r="W39">
        <v>28</v>
      </c>
      <c r="X39">
        <v>35</v>
      </c>
      <c r="Y39">
        <v>44.4444444444444</v>
      </c>
      <c r="Z39">
        <v>44.4444444444444</v>
      </c>
      <c r="AA39">
        <v>0</v>
      </c>
      <c r="AB39">
        <v>0</v>
      </c>
      <c r="AC39">
        <v>0</v>
      </c>
      <c r="AD39">
        <v>0</v>
      </c>
    </row>
    <row r="40" spans="1:30" x14ac:dyDescent="0.2">
      <c r="A40">
        <v>2</v>
      </c>
      <c r="B40" t="s">
        <v>41</v>
      </c>
      <c r="C40" t="s">
        <v>32</v>
      </c>
      <c r="D40">
        <v>66</v>
      </c>
      <c r="E40">
        <v>64</v>
      </c>
      <c r="F40">
        <v>2</v>
      </c>
      <c r="G40">
        <v>64</v>
      </c>
      <c r="H40">
        <v>3.0303030303030298</v>
      </c>
      <c r="I40">
        <v>3.0303030303030298</v>
      </c>
      <c r="J40">
        <v>198</v>
      </c>
      <c r="K40">
        <v>6</v>
      </c>
      <c r="L40">
        <v>192</v>
      </c>
      <c r="M40">
        <v>132</v>
      </c>
      <c r="N40">
        <v>3.0303030303029999E-2</v>
      </c>
      <c r="O40">
        <v>2</v>
      </c>
      <c r="P40">
        <v>64</v>
      </c>
      <c r="Q40">
        <v>3.0303030303030298</v>
      </c>
      <c r="R40">
        <v>3.0303030303030298</v>
      </c>
      <c r="S40">
        <v>2</v>
      </c>
      <c r="T40">
        <v>64</v>
      </c>
      <c r="U40">
        <v>3.0303030303030298</v>
      </c>
      <c r="V40">
        <v>3.0303030303030298</v>
      </c>
      <c r="W40">
        <v>2</v>
      </c>
      <c r="X40">
        <v>64</v>
      </c>
      <c r="Y40">
        <v>3.0303030303030298</v>
      </c>
      <c r="Z40">
        <v>3.0303030303030298</v>
      </c>
      <c r="AA40">
        <v>0</v>
      </c>
      <c r="AB40">
        <v>0</v>
      </c>
      <c r="AC40">
        <v>0</v>
      </c>
      <c r="AD40">
        <v>0</v>
      </c>
    </row>
    <row r="41" spans="1:30" x14ac:dyDescent="0.2">
      <c r="A41">
        <v>3</v>
      </c>
      <c r="B41" t="s">
        <v>41</v>
      </c>
      <c r="C41" t="s">
        <v>33</v>
      </c>
      <c r="D41">
        <v>28</v>
      </c>
      <c r="E41">
        <v>13</v>
      </c>
      <c r="F41">
        <v>10</v>
      </c>
      <c r="G41">
        <v>18</v>
      </c>
      <c r="H41">
        <v>35.714285714285701</v>
      </c>
      <c r="I41">
        <v>35.714285714285701</v>
      </c>
      <c r="J41">
        <v>84</v>
      </c>
      <c r="K41">
        <v>38</v>
      </c>
      <c r="L41">
        <v>46</v>
      </c>
      <c r="M41">
        <v>354.666666666666</v>
      </c>
      <c r="N41">
        <v>0.452380952380952</v>
      </c>
      <c r="O41">
        <v>15</v>
      </c>
      <c r="P41">
        <v>13</v>
      </c>
      <c r="Q41">
        <v>53.571428571428498</v>
      </c>
      <c r="R41">
        <v>53.571428571428498</v>
      </c>
      <c r="S41">
        <v>11</v>
      </c>
      <c r="T41">
        <v>17</v>
      </c>
      <c r="U41">
        <v>39.285714285714199</v>
      </c>
      <c r="V41">
        <v>39.285714285714199</v>
      </c>
      <c r="W41">
        <v>12</v>
      </c>
      <c r="X41">
        <v>16</v>
      </c>
      <c r="Y41">
        <v>42.857142857142797</v>
      </c>
      <c r="Z41">
        <v>42.857142857142797</v>
      </c>
      <c r="AA41">
        <v>0</v>
      </c>
      <c r="AB41">
        <v>36</v>
      </c>
      <c r="AC41">
        <v>0</v>
      </c>
      <c r="AD41">
        <v>0</v>
      </c>
    </row>
    <row r="42" spans="1:30" x14ac:dyDescent="0.2">
      <c r="A42">
        <v>4</v>
      </c>
      <c r="B42" t="s">
        <v>41</v>
      </c>
      <c r="C42" t="s">
        <v>34</v>
      </c>
      <c r="D42">
        <v>34</v>
      </c>
      <c r="E42">
        <v>8</v>
      </c>
      <c r="F42">
        <v>0</v>
      </c>
      <c r="G42">
        <v>34</v>
      </c>
      <c r="H42">
        <v>0</v>
      </c>
      <c r="I42">
        <v>0</v>
      </c>
      <c r="J42">
        <v>102</v>
      </c>
      <c r="K42">
        <v>10</v>
      </c>
      <c r="L42">
        <v>92</v>
      </c>
      <c r="M42">
        <v>113.333333333333</v>
      </c>
      <c r="N42">
        <v>9.8039215686273995E-2</v>
      </c>
      <c r="O42">
        <v>10</v>
      </c>
      <c r="P42">
        <v>24</v>
      </c>
      <c r="Q42">
        <v>29.411764705882302</v>
      </c>
      <c r="R42">
        <v>29.411764705882302</v>
      </c>
      <c r="S42">
        <v>0</v>
      </c>
      <c r="T42">
        <v>34</v>
      </c>
      <c r="U42">
        <v>0</v>
      </c>
      <c r="V42">
        <v>0</v>
      </c>
      <c r="W42">
        <v>0</v>
      </c>
      <c r="X42">
        <v>34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">
      <c r="A43">
        <v>5</v>
      </c>
      <c r="B43" t="s">
        <v>41</v>
      </c>
      <c r="C43" t="s">
        <v>35</v>
      </c>
      <c r="D43">
        <v>24</v>
      </c>
      <c r="E43">
        <v>5</v>
      </c>
      <c r="F43">
        <v>0</v>
      </c>
      <c r="G43">
        <v>24</v>
      </c>
      <c r="H43">
        <v>0</v>
      </c>
      <c r="I43">
        <v>0</v>
      </c>
      <c r="J43">
        <v>72</v>
      </c>
      <c r="K43">
        <v>36</v>
      </c>
      <c r="L43">
        <v>36</v>
      </c>
      <c r="M43">
        <v>288</v>
      </c>
      <c r="N43">
        <v>0.5</v>
      </c>
      <c r="O43">
        <v>18</v>
      </c>
      <c r="P43">
        <v>6</v>
      </c>
      <c r="Q43">
        <v>75</v>
      </c>
      <c r="R43">
        <v>75</v>
      </c>
      <c r="S43">
        <v>18</v>
      </c>
      <c r="T43">
        <v>6</v>
      </c>
      <c r="U43">
        <v>75</v>
      </c>
      <c r="V43">
        <v>75</v>
      </c>
      <c r="W43">
        <v>0</v>
      </c>
      <c r="X43">
        <v>24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">
      <c r="A44">
        <v>6</v>
      </c>
      <c r="B44" t="s">
        <v>41</v>
      </c>
      <c r="C44" t="s">
        <v>36</v>
      </c>
      <c r="D44">
        <v>8</v>
      </c>
      <c r="E44">
        <v>0</v>
      </c>
      <c r="F44">
        <v>4</v>
      </c>
      <c r="G44">
        <v>4</v>
      </c>
      <c r="H44">
        <v>50</v>
      </c>
      <c r="I44">
        <v>50</v>
      </c>
      <c r="J44">
        <v>24</v>
      </c>
      <c r="K44">
        <v>20</v>
      </c>
      <c r="L44">
        <v>4</v>
      </c>
      <c r="M44">
        <v>53.3333333333333</v>
      </c>
      <c r="N44">
        <v>0.83333333333333304</v>
      </c>
      <c r="O44">
        <v>8</v>
      </c>
      <c r="P44">
        <v>0</v>
      </c>
      <c r="Q44">
        <v>100</v>
      </c>
      <c r="R44">
        <v>100</v>
      </c>
      <c r="S44">
        <v>8</v>
      </c>
      <c r="T44">
        <v>0</v>
      </c>
      <c r="U44">
        <v>100</v>
      </c>
      <c r="V44">
        <v>100</v>
      </c>
      <c r="W44">
        <v>4</v>
      </c>
      <c r="X44">
        <v>4</v>
      </c>
      <c r="Y44">
        <v>50</v>
      </c>
      <c r="Z44">
        <v>50</v>
      </c>
      <c r="AA44">
        <v>0</v>
      </c>
      <c r="AB44">
        <v>0</v>
      </c>
      <c r="AC44">
        <v>0</v>
      </c>
      <c r="AD44">
        <v>0</v>
      </c>
    </row>
    <row r="45" spans="1:30" x14ac:dyDescent="0.2">
      <c r="A45">
        <v>7</v>
      </c>
      <c r="B45" t="s">
        <v>41</v>
      </c>
      <c r="C45" t="s">
        <v>37</v>
      </c>
      <c r="D45">
        <v>13</v>
      </c>
      <c r="E45">
        <v>0</v>
      </c>
      <c r="F45">
        <v>0</v>
      </c>
      <c r="G45">
        <v>13</v>
      </c>
      <c r="H45">
        <v>0</v>
      </c>
      <c r="I45">
        <v>0</v>
      </c>
      <c r="J45">
        <v>39</v>
      </c>
      <c r="K45">
        <v>16</v>
      </c>
      <c r="L45">
        <v>23</v>
      </c>
      <c r="M45">
        <v>69.3333333333333</v>
      </c>
      <c r="N45">
        <v>0.41025641025641002</v>
      </c>
      <c r="O45">
        <v>13</v>
      </c>
      <c r="P45">
        <v>0</v>
      </c>
      <c r="Q45">
        <v>100</v>
      </c>
      <c r="R45">
        <v>100</v>
      </c>
      <c r="S45">
        <v>0</v>
      </c>
      <c r="T45">
        <v>13</v>
      </c>
      <c r="U45">
        <v>0</v>
      </c>
      <c r="V45">
        <v>0</v>
      </c>
      <c r="W45">
        <v>3</v>
      </c>
      <c r="X45">
        <v>10</v>
      </c>
      <c r="Y45">
        <v>23.076923076922998</v>
      </c>
      <c r="Z45">
        <v>23.076923076922998</v>
      </c>
      <c r="AA45">
        <v>0</v>
      </c>
      <c r="AB45">
        <v>0</v>
      </c>
      <c r="AC45">
        <v>0</v>
      </c>
      <c r="AD45">
        <v>0</v>
      </c>
    </row>
    <row r="46" spans="1:30" x14ac:dyDescent="0.2">
      <c r="A46">
        <v>8</v>
      </c>
      <c r="B46" t="s">
        <v>41</v>
      </c>
      <c r="C46" t="s">
        <v>38</v>
      </c>
      <c r="D46">
        <v>7</v>
      </c>
      <c r="E46">
        <v>0</v>
      </c>
      <c r="F46">
        <v>2</v>
      </c>
      <c r="G46">
        <v>5</v>
      </c>
      <c r="H46">
        <v>28.571428571428498</v>
      </c>
      <c r="I46">
        <v>28.571428571428498</v>
      </c>
      <c r="J46">
        <v>21</v>
      </c>
      <c r="K46">
        <v>15</v>
      </c>
      <c r="L46">
        <v>6</v>
      </c>
      <c r="M46">
        <v>35</v>
      </c>
      <c r="N46">
        <v>0.71428571428571397</v>
      </c>
      <c r="O46">
        <v>7</v>
      </c>
      <c r="P46">
        <v>0</v>
      </c>
      <c r="Q46">
        <v>100</v>
      </c>
      <c r="R46">
        <v>100</v>
      </c>
      <c r="S46">
        <v>6</v>
      </c>
      <c r="T46">
        <v>1</v>
      </c>
      <c r="U46">
        <v>85.714285714285694</v>
      </c>
      <c r="V46">
        <v>85.714285714285694</v>
      </c>
      <c r="W46">
        <v>2</v>
      </c>
      <c r="X46">
        <v>5</v>
      </c>
      <c r="Y46">
        <v>28.571428571428498</v>
      </c>
      <c r="Z46">
        <v>28.571428571428498</v>
      </c>
      <c r="AA46">
        <v>0</v>
      </c>
      <c r="AB46">
        <v>0</v>
      </c>
      <c r="AC46">
        <v>0</v>
      </c>
      <c r="AD46">
        <v>0</v>
      </c>
    </row>
    <row r="47" spans="1:30" x14ac:dyDescent="0.2">
      <c r="A47">
        <v>0</v>
      </c>
      <c r="B47" t="s">
        <v>42</v>
      </c>
      <c r="C47" t="s">
        <v>30</v>
      </c>
      <c r="D47">
        <v>88</v>
      </c>
      <c r="E47">
        <v>17</v>
      </c>
      <c r="F47">
        <v>0</v>
      </c>
      <c r="G47">
        <v>88</v>
      </c>
      <c r="H47">
        <v>0</v>
      </c>
      <c r="I47">
        <v>0</v>
      </c>
      <c r="J47">
        <v>264</v>
      </c>
      <c r="K47">
        <v>73</v>
      </c>
      <c r="L47">
        <v>191</v>
      </c>
      <c r="M47">
        <v>2141.3333333333298</v>
      </c>
      <c r="N47">
        <v>0.27651515151515099</v>
      </c>
      <c r="O47">
        <v>42</v>
      </c>
      <c r="P47">
        <v>46</v>
      </c>
      <c r="Q47">
        <v>47.727272727272698</v>
      </c>
      <c r="R47">
        <v>47.727272727272698</v>
      </c>
      <c r="S47">
        <v>24</v>
      </c>
      <c r="T47">
        <v>64</v>
      </c>
      <c r="U47">
        <v>27.272727272727199</v>
      </c>
      <c r="V47">
        <v>27.272727272727199</v>
      </c>
      <c r="W47">
        <v>7</v>
      </c>
      <c r="X47">
        <v>81</v>
      </c>
      <c r="Y47">
        <v>7.9545454545454497</v>
      </c>
      <c r="Z47">
        <v>7.9545454545454497</v>
      </c>
      <c r="AA47">
        <v>0</v>
      </c>
      <c r="AB47">
        <v>0</v>
      </c>
      <c r="AC47">
        <v>0</v>
      </c>
      <c r="AD47">
        <v>0</v>
      </c>
    </row>
    <row r="48" spans="1:30" x14ac:dyDescent="0.2">
      <c r="A48">
        <v>1</v>
      </c>
      <c r="B48" t="s">
        <v>42</v>
      </c>
      <c r="C48" t="s">
        <v>31</v>
      </c>
      <c r="D48">
        <v>63</v>
      </c>
      <c r="E48">
        <v>15</v>
      </c>
      <c r="F48">
        <v>0</v>
      </c>
      <c r="G48">
        <v>63</v>
      </c>
      <c r="H48">
        <v>0</v>
      </c>
      <c r="I48">
        <v>0</v>
      </c>
      <c r="J48">
        <v>189</v>
      </c>
      <c r="K48">
        <v>50</v>
      </c>
      <c r="L48">
        <v>139</v>
      </c>
      <c r="M48">
        <v>1050</v>
      </c>
      <c r="N48">
        <v>0.26455026455026398</v>
      </c>
      <c r="O48">
        <v>36</v>
      </c>
      <c r="P48">
        <v>27</v>
      </c>
      <c r="Q48">
        <v>57.142857142857103</v>
      </c>
      <c r="R48">
        <v>57.142857142857103</v>
      </c>
      <c r="S48">
        <v>14</v>
      </c>
      <c r="T48">
        <v>49</v>
      </c>
      <c r="U48">
        <v>22.2222222222222</v>
      </c>
      <c r="V48">
        <v>22.2222222222222</v>
      </c>
      <c r="W48">
        <v>0</v>
      </c>
      <c r="X48">
        <v>63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">
      <c r="A49">
        <v>2</v>
      </c>
      <c r="B49" t="s">
        <v>42</v>
      </c>
      <c r="C49" t="s">
        <v>32</v>
      </c>
      <c r="D49">
        <v>66</v>
      </c>
      <c r="E49">
        <v>58</v>
      </c>
      <c r="F49">
        <v>0</v>
      </c>
      <c r="G49">
        <v>66</v>
      </c>
      <c r="H49">
        <v>0</v>
      </c>
      <c r="I49">
        <v>0</v>
      </c>
      <c r="J49">
        <v>198</v>
      </c>
      <c r="K49">
        <v>8</v>
      </c>
      <c r="L49">
        <v>190</v>
      </c>
      <c r="M49">
        <v>176</v>
      </c>
      <c r="N49">
        <v>4.0404040404039998E-2</v>
      </c>
      <c r="O49">
        <v>5</v>
      </c>
      <c r="P49">
        <v>61</v>
      </c>
      <c r="Q49">
        <v>7.5757575757575699</v>
      </c>
      <c r="R49">
        <v>7.5757575757575699</v>
      </c>
      <c r="S49">
        <v>3</v>
      </c>
      <c r="T49">
        <v>63</v>
      </c>
      <c r="U49">
        <v>4.5454545454545396</v>
      </c>
      <c r="V49">
        <v>4.5454545454545396</v>
      </c>
      <c r="W49">
        <v>0</v>
      </c>
      <c r="X49">
        <v>66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">
      <c r="A50">
        <v>3</v>
      </c>
      <c r="B50" t="s">
        <v>42</v>
      </c>
      <c r="C50" t="s">
        <v>33</v>
      </c>
      <c r="D50">
        <v>28</v>
      </c>
      <c r="E50">
        <v>19</v>
      </c>
      <c r="F50">
        <v>0</v>
      </c>
      <c r="G50">
        <v>28</v>
      </c>
      <c r="H50">
        <v>0</v>
      </c>
      <c r="I50">
        <v>0</v>
      </c>
      <c r="J50">
        <v>84</v>
      </c>
      <c r="K50">
        <v>13</v>
      </c>
      <c r="L50">
        <v>71</v>
      </c>
      <c r="M50">
        <v>121.333333333333</v>
      </c>
      <c r="N50">
        <v>0.15476190476190399</v>
      </c>
      <c r="O50">
        <v>8</v>
      </c>
      <c r="P50">
        <v>20</v>
      </c>
      <c r="Q50">
        <v>28.571428571428498</v>
      </c>
      <c r="R50">
        <v>28.571428571428498</v>
      </c>
      <c r="S50">
        <v>5</v>
      </c>
      <c r="T50">
        <v>23</v>
      </c>
      <c r="U50">
        <v>17.857142857142801</v>
      </c>
      <c r="V50">
        <v>17.857142857142801</v>
      </c>
      <c r="W50">
        <v>0</v>
      </c>
      <c r="X50">
        <v>28</v>
      </c>
      <c r="Y50">
        <v>0</v>
      </c>
      <c r="Z50">
        <v>0</v>
      </c>
      <c r="AA50">
        <v>0</v>
      </c>
      <c r="AB50">
        <v>15</v>
      </c>
      <c r="AC50">
        <v>0</v>
      </c>
      <c r="AD50">
        <v>0</v>
      </c>
    </row>
    <row r="51" spans="1:30" x14ac:dyDescent="0.2">
      <c r="A51">
        <v>4</v>
      </c>
      <c r="B51" t="s">
        <v>42</v>
      </c>
      <c r="C51" t="s">
        <v>34</v>
      </c>
      <c r="D51">
        <v>34</v>
      </c>
      <c r="E51">
        <v>0</v>
      </c>
      <c r="F51">
        <v>0</v>
      </c>
      <c r="G51">
        <v>34</v>
      </c>
      <c r="H51">
        <v>0</v>
      </c>
      <c r="I51">
        <v>0</v>
      </c>
      <c r="J51">
        <v>102</v>
      </c>
      <c r="K51">
        <v>13</v>
      </c>
      <c r="L51">
        <v>89</v>
      </c>
      <c r="M51">
        <v>147.333333333333</v>
      </c>
      <c r="N51">
        <v>0.12745098039215599</v>
      </c>
      <c r="O51">
        <v>12</v>
      </c>
      <c r="P51">
        <v>22</v>
      </c>
      <c r="Q51">
        <v>35.294117647058798</v>
      </c>
      <c r="R51">
        <v>35.294117647058798</v>
      </c>
      <c r="S51">
        <v>1</v>
      </c>
      <c r="T51">
        <v>33</v>
      </c>
      <c r="U51">
        <v>2.9411764705882302</v>
      </c>
      <c r="V51">
        <v>2.9411764705882302</v>
      </c>
      <c r="W51">
        <v>0</v>
      </c>
      <c r="X51">
        <v>34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">
      <c r="A52">
        <v>5</v>
      </c>
      <c r="B52" t="s">
        <v>42</v>
      </c>
      <c r="C52" t="s">
        <v>35</v>
      </c>
      <c r="D52">
        <v>24</v>
      </c>
      <c r="E52">
        <v>5</v>
      </c>
      <c r="F52">
        <v>0</v>
      </c>
      <c r="G52">
        <v>24</v>
      </c>
      <c r="H52">
        <v>0</v>
      </c>
      <c r="I52">
        <v>0</v>
      </c>
      <c r="J52">
        <v>72</v>
      </c>
      <c r="K52">
        <v>21</v>
      </c>
      <c r="L52">
        <v>51</v>
      </c>
      <c r="M52">
        <v>168</v>
      </c>
      <c r="N52">
        <v>0.29166666666666602</v>
      </c>
      <c r="O52">
        <v>6</v>
      </c>
      <c r="P52">
        <v>18</v>
      </c>
      <c r="Q52">
        <v>25</v>
      </c>
      <c r="R52">
        <v>25</v>
      </c>
      <c r="S52">
        <v>15</v>
      </c>
      <c r="T52">
        <v>9</v>
      </c>
      <c r="U52">
        <v>62.5</v>
      </c>
      <c r="V52">
        <v>62.5</v>
      </c>
      <c r="W52">
        <v>0</v>
      </c>
      <c r="X52">
        <v>24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">
      <c r="A53">
        <v>6</v>
      </c>
      <c r="B53" t="s">
        <v>42</v>
      </c>
      <c r="C53" t="s">
        <v>36</v>
      </c>
      <c r="D53">
        <v>8</v>
      </c>
      <c r="E53">
        <v>0</v>
      </c>
      <c r="F53">
        <v>0</v>
      </c>
      <c r="G53">
        <v>8</v>
      </c>
      <c r="H53">
        <v>0</v>
      </c>
      <c r="I53">
        <v>0</v>
      </c>
      <c r="J53">
        <v>24</v>
      </c>
      <c r="K53">
        <v>14</v>
      </c>
      <c r="L53">
        <v>10</v>
      </c>
      <c r="M53">
        <v>37.3333333333333</v>
      </c>
      <c r="N53">
        <v>0.58333333333333304</v>
      </c>
      <c r="O53">
        <v>4</v>
      </c>
      <c r="P53">
        <v>4</v>
      </c>
      <c r="Q53">
        <v>50</v>
      </c>
      <c r="R53">
        <v>50</v>
      </c>
      <c r="S53">
        <v>8</v>
      </c>
      <c r="T53">
        <v>0</v>
      </c>
      <c r="U53">
        <v>100</v>
      </c>
      <c r="V53">
        <v>100</v>
      </c>
      <c r="W53">
        <v>2</v>
      </c>
      <c r="X53">
        <v>6</v>
      </c>
      <c r="Y53">
        <v>25</v>
      </c>
      <c r="Z53">
        <v>25</v>
      </c>
      <c r="AA53">
        <v>0</v>
      </c>
      <c r="AB53">
        <v>0</v>
      </c>
      <c r="AC53">
        <v>0</v>
      </c>
      <c r="AD53">
        <v>0</v>
      </c>
    </row>
    <row r="54" spans="1:30" x14ac:dyDescent="0.2">
      <c r="A54">
        <v>7</v>
      </c>
      <c r="B54" t="s">
        <v>42</v>
      </c>
      <c r="C54" t="s">
        <v>37</v>
      </c>
      <c r="D54">
        <v>13</v>
      </c>
      <c r="E54">
        <v>0</v>
      </c>
      <c r="F54">
        <v>0</v>
      </c>
      <c r="G54">
        <v>13</v>
      </c>
      <c r="H54">
        <v>0</v>
      </c>
      <c r="I54">
        <v>0</v>
      </c>
      <c r="J54">
        <v>39</v>
      </c>
      <c r="K54">
        <v>9</v>
      </c>
      <c r="L54">
        <v>30</v>
      </c>
      <c r="M54">
        <v>39</v>
      </c>
      <c r="N54">
        <v>0.23076923076923</v>
      </c>
      <c r="O54">
        <v>9</v>
      </c>
      <c r="P54">
        <v>4</v>
      </c>
      <c r="Q54">
        <v>69.230769230769198</v>
      </c>
      <c r="R54">
        <v>69.230769230769198</v>
      </c>
      <c r="S54">
        <v>0</v>
      </c>
      <c r="T54">
        <v>13</v>
      </c>
      <c r="U54">
        <v>0</v>
      </c>
      <c r="V54">
        <v>0</v>
      </c>
      <c r="W54">
        <v>0</v>
      </c>
      <c r="X54">
        <v>13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">
      <c r="A55">
        <v>8</v>
      </c>
      <c r="B55" t="s">
        <v>42</v>
      </c>
      <c r="C55" t="s">
        <v>38</v>
      </c>
      <c r="D55">
        <v>7</v>
      </c>
      <c r="E55">
        <v>0</v>
      </c>
      <c r="F55">
        <v>0</v>
      </c>
      <c r="G55">
        <v>7</v>
      </c>
      <c r="H55">
        <v>0</v>
      </c>
      <c r="I55">
        <v>0</v>
      </c>
      <c r="J55">
        <v>21</v>
      </c>
      <c r="K55">
        <v>9</v>
      </c>
      <c r="L55">
        <v>12</v>
      </c>
      <c r="M55">
        <v>21</v>
      </c>
      <c r="N55">
        <v>0.42857142857142799</v>
      </c>
      <c r="O55">
        <v>3</v>
      </c>
      <c r="P55">
        <v>4</v>
      </c>
      <c r="Q55">
        <v>42.857142857142797</v>
      </c>
      <c r="R55">
        <v>42.857142857142797</v>
      </c>
      <c r="S55">
        <v>6</v>
      </c>
      <c r="T55">
        <v>1</v>
      </c>
      <c r="U55">
        <v>85.714285714285694</v>
      </c>
      <c r="V55">
        <v>85.714285714285694</v>
      </c>
      <c r="W55">
        <v>0</v>
      </c>
      <c r="X55">
        <v>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">
      <c r="A56">
        <v>0</v>
      </c>
      <c r="B56" t="s">
        <v>43</v>
      </c>
      <c r="C56" t="s">
        <v>30</v>
      </c>
      <c r="D56">
        <v>88</v>
      </c>
      <c r="E56">
        <v>30</v>
      </c>
      <c r="F56">
        <v>11</v>
      </c>
      <c r="G56">
        <v>77</v>
      </c>
      <c r="H56">
        <v>12.5</v>
      </c>
      <c r="I56">
        <v>12.5</v>
      </c>
      <c r="J56">
        <v>264</v>
      </c>
      <c r="K56">
        <v>91</v>
      </c>
      <c r="L56">
        <v>173</v>
      </c>
      <c r="M56">
        <v>34.469696969696898</v>
      </c>
      <c r="N56">
        <v>34.469696969696898</v>
      </c>
      <c r="O56">
        <v>40</v>
      </c>
      <c r="P56">
        <v>48</v>
      </c>
      <c r="Q56">
        <v>45.454545454545404</v>
      </c>
      <c r="R56">
        <v>45.454545454545404</v>
      </c>
      <c r="S56">
        <v>32</v>
      </c>
      <c r="T56">
        <v>56</v>
      </c>
      <c r="U56">
        <v>36.363636363636303</v>
      </c>
      <c r="V56">
        <v>36.363636363636303</v>
      </c>
      <c r="W56">
        <v>19</v>
      </c>
      <c r="X56">
        <v>69</v>
      </c>
      <c r="Y56">
        <v>21.590909090909001</v>
      </c>
      <c r="Z56">
        <v>21.590909090909001</v>
      </c>
      <c r="AA56">
        <v>0</v>
      </c>
      <c r="AB56">
        <v>0</v>
      </c>
      <c r="AC56">
        <v>0</v>
      </c>
      <c r="AD56">
        <v>0</v>
      </c>
    </row>
    <row r="57" spans="1:30" x14ac:dyDescent="0.2">
      <c r="A57">
        <v>1</v>
      </c>
      <c r="B57" t="s">
        <v>43</v>
      </c>
      <c r="C57" t="s">
        <v>31</v>
      </c>
      <c r="D57">
        <v>63</v>
      </c>
      <c r="E57">
        <v>5</v>
      </c>
      <c r="F57">
        <v>8</v>
      </c>
      <c r="G57">
        <v>55</v>
      </c>
      <c r="H57">
        <v>12.6984126984126</v>
      </c>
      <c r="I57">
        <v>12.6984126984126</v>
      </c>
      <c r="J57">
        <v>189</v>
      </c>
      <c r="K57">
        <v>83</v>
      </c>
      <c r="L57">
        <v>106</v>
      </c>
      <c r="M57">
        <v>43.915343915343897</v>
      </c>
      <c r="N57">
        <v>43.915343915343897</v>
      </c>
      <c r="O57">
        <v>22</v>
      </c>
      <c r="P57">
        <v>41</v>
      </c>
      <c r="Q57">
        <v>34.920634920634903</v>
      </c>
      <c r="R57">
        <v>34.920634920634903</v>
      </c>
      <c r="S57">
        <v>32</v>
      </c>
      <c r="T57">
        <v>31</v>
      </c>
      <c r="U57">
        <v>50.793650793650698</v>
      </c>
      <c r="V57">
        <v>50.793650793650698</v>
      </c>
      <c r="W57">
        <v>29</v>
      </c>
      <c r="X57">
        <v>34</v>
      </c>
      <c r="Y57">
        <v>46.031746031746003</v>
      </c>
      <c r="Z57">
        <v>46.031746031746003</v>
      </c>
      <c r="AA57">
        <v>0</v>
      </c>
      <c r="AB57">
        <v>0</v>
      </c>
      <c r="AC57">
        <v>0</v>
      </c>
      <c r="AD57">
        <v>0</v>
      </c>
    </row>
    <row r="58" spans="1:30" x14ac:dyDescent="0.2">
      <c r="A58">
        <v>2</v>
      </c>
      <c r="B58" t="s">
        <v>43</v>
      </c>
      <c r="C58" t="s">
        <v>32</v>
      </c>
      <c r="D58">
        <v>66</v>
      </c>
      <c r="E58">
        <v>0</v>
      </c>
      <c r="F58">
        <v>10</v>
      </c>
      <c r="G58">
        <v>56</v>
      </c>
      <c r="H58">
        <v>15.151515151515101</v>
      </c>
      <c r="I58">
        <v>15.151515151515101</v>
      </c>
      <c r="J58">
        <v>198</v>
      </c>
      <c r="K58">
        <v>102</v>
      </c>
      <c r="L58">
        <v>96</v>
      </c>
      <c r="M58">
        <v>51.515151515151501</v>
      </c>
      <c r="N58">
        <v>51.515151515151501</v>
      </c>
      <c r="O58">
        <v>29</v>
      </c>
      <c r="P58">
        <v>37</v>
      </c>
      <c r="Q58">
        <v>43.939393939393902</v>
      </c>
      <c r="R58">
        <v>43.939393939393902</v>
      </c>
      <c r="S58">
        <v>49</v>
      </c>
      <c r="T58">
        <v>17</v>
      </c>
      <c r="U58">
        <v>74.242424242424207</v>
      </c>
      <c r="V58">
        <v>74.242424242424207</v>
      </c>
      <c r="W58">
        <v>24</v>
      </c>
      <c r="X58">
        <v>42</v>
      </c>
      <c r="Y58">
        <v>36.363636363636303</v>
      </c>
      <c r="Z58">
        <v>36.363636363636303</v>
      </c>
      <c r="AA58">
        <v>0</v>
      </c>
      <c r="AB58">
        <v>0</v>
      </c>
      <c r="AC58">
        <v>0</v>
      </c>
      <c r="AD58">
        <v>0</v>
      </c>
    </row>
    <row r="59" spans="1:30" x14ac:dyDescent="0.2">
      <c r="A59">
        <v>3</v>
      </c>
      <c r="B59" t="s">
        <v>43</v>
      </c>
      <c r="C59" t="s">
        <v>33</v>
      </c>
      <c r="D59">
        <v>28</v>
      </c>
      <c r="E59">
        <v>17</v>
      </c>
      <c r="F59">
        <v>3</v>
      </c>
      <c r="G59">
        <v>25</v>
      </c>
      <c r="H59">
        <v>10.714285714285699</v>
      </c>
      <c r="I59">
        <v>10.714285714285699</v>
      </c>
      <c r="J59">
        <v>84</v>
      </c>
      <c r="K59">
        <v>20</v>
      </c>
      <c r="L59">
        <v>64</v>
      </c>
      <c r="M59">
        <v>23.8095238095238</v>
      </c>
      <c r="N59">
        <v>23.8095238095238</v>
      </c>
      <c r="O59">
        <v>8</v>
      </c>
      <c r="P59">
        <v>20</v>
      </c>
      <c r="Q59">
        <v>28.571428571428498</v>
      </c>
      <c r="R59">
        <v>28.571428571428498</v>
      </c>
      <c r="S59">
        <v>7</v>
      </c>
      <c r="T59">
        <v>21</v>
      </c>
      <c r="U59">
        <v>25</v>
      </c>
      <c r="V59">
        <v>25</v>
      </c>
      <c r="W59">
        <v>5</v>
      </c>
      <c r="X59">
        <v>23</v>
      </c>
      <c r="Y59">
        <v>17.857142857142801</v>
      </c>
      <c r="Z59">
        <v>17.857142857142801</v>
      </c>
      <c r="AA59">
        <v>0</v>
      </c>
      <c r="AB59">
        <v>21</v>
      </c>
      <c r="AC59">
        <v>0</v>
      </c>
      <c r="AD59">
        <v>0</v>
      </c>
    </row>
    <row r="60" spans="1:30" x14ac:dyDescent="0.2">
      <c r="A60">
        <v>4</v>
      </c>
      <c r="B60" t="s">
        <v>43</v>
      </c>
      <c r="C60" t="s">
        <v>34</v>
      </c>
      <c r="D60">
        <v>34</v>
      </c>
      <c r="E60">
        <v>6</v>
      </c>
      <c r="F60">
        <v>0</v>
      </c>
      <c r="G60">
        <v>34</v>
      </c>
      <c r="H60">
        <v>0</v>
      </c>
      <c r="I60">
        <v>0</v>
      </c>
      <c r="J60">
        <v>102</v>
      </c>
      <c r="K60">
        <v>15</v>
      </c>
      <c r="L60">
        <v>87</v>
      </c>
      <c r="M60">
        <v>14.705882352941099</v>
      </c>
      <c r="N60">
        <v>14.705882352941099</v>
      </c>
      <c r="O60">
        <v>14</v>
      </c>
      <c r="P60">
        <v>20</v>
      </c>
      <c r="Q60">
        <v>41.176470588235198</v>
      </c>
      <c r="R60">
        <v>41.176470588235198</v>
      </c>
      <c r="S60">
        <v>1</v>
      </c>
      <c r="T60">
        <v>33</v>
      </c>
      <c r="U60">
        <v>2.9411764705882302</v>
      </c>
      <c r="V60">
        <v>2.9411764705882302</v>
      </c>
      <c r="W60">
        <v>0</v>
      </c>
      <c r="X60">
        <v>34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">
      <c r="A61">
        <v>5</v>
      </c>
      <c r="B61" t="s">
        <v>43</v>
      </c>
      <c r="C61" t="s">
        <v>35</v>
      </c>
      <c r="D61">
        <v>24</v>
      </c>
      <c r="E61">
        <v>10</v>
      </c>
      <c r="F61">
        <v>0</v>
      </c>
      <c r="G61">
        <v>24</v>
      </c>
      <c r="H61">
        <v>0</v>
      </c>
      <c r="I61">
        <v>0</v>
      </c>
      <c r="J61">
        <v>72</v>
      </c>
      <c r="K61">
        <v>14</v>
      </c>
      <c r="L61">
        <v>58</v>
      </c>
      <c r="M61">
        <v>19.4444444444444</v>
      </c>
      <c r="N61">
        <v>19.4444444444444</v>
      </c>
      <c r="O61">
        <v>13</v>
      </c>
      <c r="P61">
        <v>11</v>
      </c>
      <c r="Q61">
        <v>54.1666666666666</v>
      </c>
      <c r="R61">
        <v>54.1666666666666</v>
      </c>
      <c r="S61">
        <v>1</v>
      </c>
      <c r="T61">
        <v>23</v>
      </c>
      <c r="U61">
        <v>4.1666666666666599</v>
      </c>
      <c r="V61">
        <v>4.1666666666666599</v>
      </c>
      <c r="W61">
        <v>0</v>
      </c>
      <c r="X61">
        <v>24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">
      <c r="A62">
        <v>6</v>
      </c>
      <c r="B62" t="s">
        <v>43</v>
      </c>
      <c r="C62" t="s">
        <v>36</v>
      </c>
      <c r="D62">
        <v>8</v>
      </c>
      <c r="E62">
        <v>3</v>
      </c>
      <c r="F62">
        <v>1</v>
      </c>
      <c r="G62">
        <v>7</v>
      </c>
      <c r="H62">
        <v>12.5</v>
      </c>
      <c r="I62">
        <v>12.5</v>
      </c>
      <c r="J62">
        <v>24</v>
      </c>
      <c r="K62">
        <v>7</v>
      </c>
      <c r="L62">
        <v>17</v>
      </c>
      <c r="M62">
        <v>29.1666666666666</v>
      </c>
      <c r="N62">
        <v>29.1666666666666</v>
      </c>
      <c r="O62">
        <v>5</v>
      </c>
      <c r="P62">
        <v>3</v>
      </c>
      <c r="Q62">
        <v>62.5</v>
      </c>
      <c r="R62">
        <v>62.5</v>
      </c>
      <c r="S62">
        <v>1</v>
      </c>
      <c r="T62">
        <v>7</v>
      </c>
      <c r="U62">
        <v>12.5</v>
      </c>
      <c r="V62">
        <v>12.5</v>
      </c>
      <c r="W62">
        <v>1</v>
      </c>
      <c r="X62">
        <v>7</v>
      </c>
      <c r="Y62">
        <v>12.5</v>
      </c>
      <c r="Z62">
        <v>12.5</v>
      </c>
      <c r="AA62">
        <v>0</v>
      </c>
      <c r="AB62">
        <v>0</v>
      </c>
      <c r="AC62">
        <v>0</v>
      </c>
      <c r="AD62">
        <v>0</v>
      </c>
    </row>
    <row r="63" spans="1:30" x14ac:dyDescent="0.2">
      <c r="A63">
        <v>7</v>
      </c>
      <c r="B63" t="s">
        <v>43</v>
      </c>
      <c r="C63" t="s">
        <v>37</v>
      </c>
      <c r="D63">
        <v>13</v>
      </c>
      <c r="E63">
        <v>11</v>
      </c>
      <c r="F63">
        <v>0</v>
      </c>
      <c r="G63">
        <v>13</v>
      </c>
      <c r="H63">
        <v>0</v>
      </c>
      <c r="I63">
        <v>0</v>
      </c>
      <c r="J63">
        <v>39</v>
      </c>
      <c r="K63">
        <v>4</v>
      </c>
      <c r="L63">
        <v>35</v>
      </c>
      <c r="M63">
        <v>10.2564102564102</v>
      </c>
      <c r="N63">
        <v>10.2564102564102</v>
      </c>
      <c r="O63">
        <v>2</v>
      </c>
      <c r="P63">
        <v>11</v>
      </c>
      <c r="Q63">
        <v>15.3846153846153</v>
      </c>
      <c r="R63">
        <v>15.3846153846153</v>
      </c>
      <c r="S63">
        <v>2</v>
      </c>
      <c r="T63">
        <v>11</v>
      </c>
      <c r="U63">
        <v>15.3846153846153</v>
      </c>
      <c r="V63">
        <v>15.3846153846153</v>
      </c>
      <c r="W63">
        <v>0</v>
      </c>
      <c r="X63">
        <v>13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">
      <c r="A64">
        <v>8</v>
      </c>
      <c r="B64" t="s">
        <v>43</v>
      </c>
      <c r="C64" t="s">
        <v>38</v>
      </c>
      <c r="D64">
        <v>7</v>
      </c>
      <c r="E64">
        <v>4</v>
      </c>
      <c r="F64">
        <v>0</v>
      </c>
      <c r="G64">
        <v>7</v>
      </c>
      <c r="H64">
        <v>0</v>
      </c>
      <c r="I64">
        <v>0</v>
      </c>
      <c r="J64">
        <v>21</v>
      </c>
      <c r="K64">
        <v>5</v>
      </c>
      <c r="L64">
        <v>16</v>
      </c>
      <c r="M64">
        <v>23.8095238095238</v>
      </c>
      <c r="N64">
        <v>23.8095238095238</v>
      </c>
      <c r="O64">
        <v>3</v>
      </c>
      <c r="P64">
        <v>4</v>
      </c>
      <c r="Q64">
        <v>42.857142857142797</v>
      </c>
      <c r="R64">
        <v>42.857142857142797</v>
      </c>
      <c r="S64">
        <v>1</v>
      </c>
      <c r="T64">
        <v>6</v>
      </c>
      <c r="U64">
        <v>14.285714285714199</v>
      </c>
      <c r="V64">
        <v>14.285714285714199</v>
      </c>
      <c r="W64">
        <v>1</v>
      </c>
      <c r="X64">
        <v>6</v>
      </c>
      <c r="Y64">
        <v>14.285714285714199</v>
      </c>
      <c r="Z64">
        <v>14.285714285714199</v>
      </c>
      <c r="AA64">
        <v>0</v>
      </c>
      <c r="AB64">
        <v>0</v>
      </c>
      <c r="AC64">
        <v>0</v>
      </c>
      <c r="AD6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CD41-432B-F043-8227-46D8F0F99D71}">
  <dimension ref="A1:K19"/>
  <sheetViews>
    <sheetView zoomScale="114" workbookViewId="0">
      <selection activeCell="B2" sqref="B2:J19"/>
    </sheetView>
  </sheetViews>
  <sheetFormatPr baseColWidth="10" defaultRowHeight="16" x14ac:dyDescent="0.2"/>
  <cols>
    <col min="2" max="2" width="18" customWidth="1"/>
    <col min="7" max="7" width="18.5" customWidth="1"/>
  </cols>
  <sheetData>
    <row r="1" spans="1:11" x14ac:dyDescent="0.2">
      <c r="B1" t="s">
        <v>1</v>
      </c>
      <c r="C1" t="s">
        <v>2</v>
      </c>
      <c r="D1" t="s">
        <v>53</v>
      </c>
      <c r="E1" t="s">
        <v>3</v>
      </c>
      <c r="F1" t="s">
        <v>7</v>
      </c>
      <c r="G1" t="s">
        <v>12</v>
      </c>
      <c r="H1" t="s">
        <v>16</v>
      </c>
      <c r="I1" t="s">
        <v>20</v>
      </c>
      <c r="J1" t="s">
        <v>24</v>
      </c>
      <c r="K1" t="s">
        <v>28</v>
      </c>
    </row>
    <row r="2" spans="1:11" x14ac:dyDescent="0.2">
      <c r="A2">
        <v>0</v>
      </c>
      <c r="B2" s="2" t="s">
        <v>50</v>
      </c>
      <c r="C2" s="2">
        <v>88</v>
      </c>
      <c r="D2" t="s">
        <v>39</v>
      </c>
      <c r="E2">
        <v>2</v>
      </c>
      <c r="F2" s="1">
        <v>51.136363636363598</v>
      </c>
      <c r="G2" s="1">
        <v>67.045454545454504</v>
      </c>
      <c r="H2" s="1">
        <v>77.272727272727195</v>
      </c>
      <c r="I2" s="1">
        <v>68.181818181818102</v>
      </c>
      <c r="J2" s="1">
        <v>55.681818181818102</v>
      </c>
      <c r="K2" s="1">
        <v>0</v>
      </c>
    </row>
    <row r="3" spans="1:11" x14ac:dyDescent="0.2">
      <c r="A3">
        <v>0</v>
      </c>
      <c r="B3" s="2"/>
      <c r="C3" s="2"/>
      <c r="D3" t="s">
        <v>55</v>
      </c>
      <c r="E3">
        <v>5</v>
      </c>
      <c r="F3" s="1">
        <v>45.454545454545404</v>
      </c>
      <c r="G3" s="1">
        <v>69.318181818181799</v>
      </c>
      <c r="H3" s="1">
        <v>76.136363636363598</v>
      </c>
      <c r="I3" s="1">
        <v>81.818181818181799</v>
      </c>
      <c r="J3" s="1">
        <v>50</v>
      </c>
      <c r="K3" s="1">
        <v>0</v>
      </c>
    </row>
    <row r="4" spans="1:11" x14ac:dyDescent="0.2">
      <c r="A4">
        <v>0</v>
      </c>
      <c r="B4" s="2"/>
      <c r="C4" s="2"/>
      <c r="D4" t="s">
        <v>54</v>
      </c>
      <c r="E4">
        <v>27</v>
      </c>
      <c r="F4" s="1">
        <v>27.272727272727199</v>
      </c>
      <c r="G4" s="1">
        <v>47.727272727272698</v>
      </c>
      <c r="H4" s="1">
        <v>48.863636363636303</v>
      </c>
      <c r="I4" s="1">
        <v>57.954545454545404</v>
      </c>
      <c r="J4" s="1">
        <v>36.363636363636303</v>
      </c>
      <c r="K4" s="1">
        <v>0</v>
      </c>
    </row>
    <row r="5" spans="1:11" x14ac:dyDescent="0.2">
      <c r="A5">
        <v>0</v>
      </c>
      <c r="B5" s="2"/>
      <c r="C5" s="2"/>
      <c r="D5" t="s">
        <v>43</v>
      </c>
      <c r="E5">
        <v>30</v>
      </c>
      <c r="F5" s="1">
        <v>12.5</v>
      </c>
      <c r="G5" s="1">
        <v>34.469696969696898</v>
      </c>
      <c r="H5" s="1">
        <v>45.454545454545404</v>
      </c>
      <c r="I5" s="1">
        <v>36.363636363636303</v>
      </c>
      <c r="J5" s="1">
        <v>21.590909090909001</v>
      </c>
      <c r="K5" s="1">
        <v>0</v>
      </c>
    </row>
    <row r="6" spans="1:11" x14ac:dyDescent="0.2">
      <c r="A6">
        <v>0</v>
      </c>
      <c r="B6" s="2"/>
      <c r="C6" s="2"/>
      <c r="D6" t="s">
        <v>42</v>
      </c>
      <c r="E6">
        <v>17</v>
      </c>
      <c r="F6" s="1">
        <v>0</v>
      </c>
      <c r="G6" s="1">
        <v>27.651515151515099</v>
      </c>
      <c r="H6" s="1">
        <v>47.727272727272698</v>
      </c>
      <c r="I6" s="1">
        <v>27.272727272727199</v>
      </c>
      <c r="J6" s="1">
        <v>7.9545454545454497</v>
      </c>
      <c r="K6" s="1">
        <v>0</v>
      </c>
    </row>
    <row r="7" spans="1:11" x14ac:dyDescent="0.2">
      <c r="A7">
        <v>0</v>
      </c>
      <c r="B7" s="2"/>
      <c r="C7" s="2"/>
      <c r="D7" t="s">
        <v>41</v>
      </c>
      <c r="E7">
        <v>40</v>
      </c>
      <c r="F7" s="1">
        <v>11.363636363636299</v>
      </c>
      <c r="G7" s="1">
        <v>34.848484848484802</v>
      </c>
      <c r="H7" s="1">
        <v>42.045454545454497</v>
      </c>
      <c r="I7" s="1">
        <v>23.863636363636299</v>
      </c>
      <c r="J7" s="1">
        <v>38.636363636363598</v>
      </c>
      <c r="K7" s="1">
        <v>0</v>
      </c>
    </row>
    <row r="8" spans="1:11" x14ac:dyDescent="0.2">
      <c r="A8">
        <v>1</v>
      </c>
      <c r="B8" s="2" t="s">
        <v>51</v>
      </c>
      <c r="C8" s="2">
        <v>63</v>
      </c>
      <c r="D8" t="s">
        <v>39</v>
      </c>
      <c r="E8">
        <v>0</v>
      </c>
      <c r="F8" s="1">
        <v>46.031746031746003</v>
      </c>
      <c r="G8" s="1">
        <v>73.015873015872998</v>
      </c>
      <c r="H8" s="1">
        <v>87.301587301587304</v>
      </c>
      <c r="I8" s="1">
        <v>79.365079365079296</v>
      </c>
      <c r="J8" s="1">
        <v>52.380952380952301</v>
      </c>
      <c r="K8" s="1">
        <v>0</v>
      </c>
    </row>
    <row r="9" spans="1:11" x14ac:dyDescent="0.2">
      <c r="A9">
        <v>1</v>
      </c>
      <c r="B9" s="2"/>
      <c r="C9" s="2"/>
      <c r="D9" t="s">
        <v>55</v>
      </c>
      <c r="E9">
        <v>8</v>
      </c>
      <c r="F9" s="1">
        <v>38.095238095238003</v>
      </c>
      <c r="G9" s="1">
        <v>61.375661375661302</v>
      </c>
      <c r="H9" s="1">
        <v>65.079365079365004</v>
      </c>
      <c r="I9" s="1">
        <v>69.841269841269806</v>
      </c>
      <c r="J9" s="1">
        <v>49.206349206349202</v>
      </c>
      <c r="K9" s="1">
        <v>0</v>
      </c>
    </row>
    <row r="10" spans="1:11" x14ac:dyDescent="0.2">
      <c r="A10">
        <v>1</v>
      </c>
      <c r="B10" s="2"/>
      <c r="C10" s="2"/>
      <c r="D10" t="s">
        <v>54</v>
      </c>
      <c r="E10">
        <v>14</v>
      </c>
      <c r="F10" s="1">
        <v>38.095238095238003</v>
      </c>
      <c r="G10" s="1">
        <v>53.968253968253897</v>
      </c>
      <c r="H10" s="1">
        <v>57.142857142857103</v>
      </c>
      <c r="I10" s="1">
        <v>55.5555555555555</v>
      </c>
      <c r="J10" s="1">
        <v>49.206349206349202</v>
      </c>
      <c r="K10" s="1">
        <v>0</v>
      </c>
    </row>
    <row r="11" spans="1:11" x14ac:dyDescent="0.2">
      <c r="A11">
        <v>1</v>
      </c>
      <c r="B11" s="2"/>
      <c r="C11" s="2"/>
      <c r="D11" t="s">
        <v>43</v>
      </c>
      <c r="E11">
        <v>5</v>
      </c>
      <c r="F11" s="1">
        <v>12.6984126984126</v>
      </c>
      <c r="G11" s="1">
        <v>43.915343915343897</v>
      </c>
      <c r="H11" s="1">
        <v>34.920634920634903</v>
      </c>
      <c r="I11" s="1">
        <v>50.793650793650698</v>
      </c>
      <c r="J11" s="1">
        <v>46.031746031746003</v>
      </c>
      <c r="K11" s="1">
        <v>0</v>
      </c>
    </row>
    <row r="12" spans="1:11" x14ac:dyDescent="0.2">
      <c r="A12">
        <v>1</v>
      </c>
      <c r="B12" s="2"/>
      <c r="C12" s="2"/>
      <c r="D12" t="s">
        <v>42</v>
      </c>
      <c r="E12">
        <v>15</v>
      </c>
      <c r="F12" s="1">
        <v>0</v>
      </c>
      <c r="G12" s="1">
        <v>26.455026455026399</v>
      </c>
      <c r="H12" s="1">
        <v>57.142857142857103</v>
      </c>
      <c r="I12" s="1">
        <v>22.2222222222222</v>
      </c>
      <c r="J12" s="1">
        <v>0</v>
      </c>
      <c r="K12" s="1">
        <v>0</v>
      </c>
    </row>
    <row r="13" spans="1:11" x14ac:dyDescent="0.2">
      <c r="A13">
        <v>1</v>
      </c>
      <c r="B13" s="2"/>
      <c r="C13" s="2"/>
      <c r="D13" t="s">
        <v>41</v>
      </c>
      <c r="E13">
        <v>24</v>
      </c>
      <c r="F13" s="1">
        <v>15.873015873015801</v>
      </c>
      <c r="G13" s="1">
        <v>41.798941798941698</v>
      </c>
      <c r="H13" s="1">
        <v>55.5555555555555</v>
      </c>
      <c r="I13" s="1">
        <v>25.396825396825299</v>
      </c>
      <c r="J13" s="1">
        <v>44.4444444444444</v>
      </c>
      <c r="K13" s="1">
        <v>0</v>
      </c>
    </row>
    <row r="14" spans="1:11" x14ac:dyDescent="0.2">
      <c r="A14">
        <v>2</v>
      </c>
      <c r="B14" s="2" t="s">
        <v>52</v>
      </c>
      <c r="C14" s="2">
        <v>66</v>
      </c>
      <c r="D14" t="s">
        <v>39</v>
      </c>
      <c r="E14">
        <v>2</v>
      </c>
      <c r="F14" s="1">
        <v>31.818181818181799</v>
      </c>
      <c r="G14" s="1">
        <v>59.090909090909001</v>
      </c>
      <c r="H14" s="1">
        <v>57.5757575757575</v>
      </c>
      <c r="I14" s="1">
        <v>87.878787878787804</v>
      </c>
      <c r="J14" s="1">
        <v>31.818181818181799</v>
      </c>
      <c r="K14" s="1">
        <v>0</v>
      </c>
    </row>
    <row r="15" spans="1:11" x14ac:dyDescent="0.2">
      <c r="A15">
        <v>2</v>
      </c>
      <c r="B15" s="2"/>
      <c r="C15" s="2"/>
      <c r="D15" t="s">
        <v>55</v>
      </c>
      <c r="E15">
        <v>19</v>
      </c>
      <c r="F15" s="1">
        <v>16.6666666666666</v>
      </c>
      <c r="G15" s="1">
        <v>37.878787878787797</v>
      </c>
      <c r="H15" s="1">
        <v>34.848484848484802</v>
      </c>
      <c r="I15" s="1">
        <v>60.606060606060602</v>
      </c>
      <c r="J15" s="1">
        <v>18.181818181818102</v>
      </c>
      <c r="K15" s="1">
        <v>0</v>
      </c>
    </row>
    <row r="16" spans="1:11" x14ac:dyDescent="0.2">
      <c r="A16">
        <v>2</v>
      </c>
      <c r="B16" s="2"/>
      <c r="C16" s="2"/>
      <c r="D16" t="s">
        <v>54</v>
      </c>
      <c r="E16">
        <v>3</v>
      </c>
      <c r="F16" s="1">
        <v>18.181818181818102</v>
      </c>
      <c r="G16" s="1">
        <v>49.494949494949502</v>
      </c>
      <c r="H16" s="1">
        <v>50</v>
      </c>
      <c r="I16" s="1">
        <v>66.6666666666666</v>
      </c>
      <c r="J16" s="1">
        <v>31.818181818181799</v>
      </c>
      <c r="K16" s="1">
        <v>0</v>
      </c>
    </row>
    <row r="17" spans="1:11" x14ac:dyDescent="0.2">
      <c r="A17">
        <v>2</v>
      </c>
      <c r="B17" s="2"/>
      <c r="C17" s="2"/>
      <c r="D17" t="s">
        <v>43</v>
      </c>
      <c r="E17">
        <v>0</v>
      </c>
      <c r="F17" s="1">
        <v>15.151515151515101</v>
      </c>
      <c r="G17" s="1">
        <v>51.515151515151501</v>
      </c>
      <c r="H17" s="1">
        <v>43.939393939393902</v>
      </c>
      <c r="I17" s="1">
        <v>74.242424242424207</v>
      </c>
      <c r="J17" s="1">
        <v>36.363636363636303</v>
      </c>
      <c r="K17" s="1">
        <v>0</v>
      </c>
    </row>
    <row r="18" spans="1:11" x14ac:dyDescent="0.2">
      <c r="A18">
        <v>2</v>
      </c>
      <c r="B18" s="2"/>
      <c r="C18" s="2"/>
      <c r="D18" t="s">
        <v>42</v>
      </c>
      <c r="E18">
        <v>58</v>
      </c>
      <c r="F18" s="1">
        <v>0</v>
      </c>
      <c r="G18" s="1">
        <v>4.0404040404039998</v>
      </c>
      <c r="H18" s="1">
        <v>7.5757575757575699</v>
      </c>
      <c r="I18" s="1">
        <v>4.5454545454545396</v>
      </c>
      <c r="J18" s="1">
        <v>0</v>
      </c>
      <c r="K18" s="1">
        <v>0</v>
      </c>
    </row>
    <row r="19" spans="1:11" x14ac:dyDescent="0.2">
      <c r="A19">
        <v>2</v>
      </c>
      <c r="B19" s="2"/>
      <c r="C19" s="2"/>
      <c r="D19" t="s">
        <v>41</v>
      </c>
      <c r="E19">
        <v>64</v>
      </c>
      <c r="F19" s="1">
        <v>3.0303030303030298</v>
      </c>
      <c r="G19" s="1">
        <v>3.0303030303030001</v>
      </c>
      <c r="H19" s="1">
        <v>3.0303030303030298</v>
      </c>
      <c r="I19" s="1">
        <v>3.0303030303030298</v>
      </c>
      <c r="J19" s="1">
        <v>3.0303030303030298</v>
      </c>
      <c r="K19" s="1">
        <v>0</v>
      </c>
    </row>
  </sheetData>
  <sortState xmlns:xlrd2="http://schemas.microsoft.com/office/spreadsheetml/2017/richdata2" ref="A2:AC19">
    <sortCondition ref="B2:B19"/>
  </sortState>
  <mergeCells count="6">
    <mergeCell ref="B2:B7"/>
    <mergeCell ref="C2:C7"/>
    <mergeCell ref="B8:B13"/>
    <mergeCell ref="C8:C13"/>
    <mergeCell ref="B14:B19"/>
    <mergeCell ref="C14:C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F638-16E0-AD43-B577-656A1FAB2C11}">
  <dimension ref="A1:O37"/>
  <sheetViews>
    <sheetView tabSelected="1" workbookViewId="0">
      <selection activeCell="C32" sqref="C32:L37"/>
    </sheetView>
  </sheetViews>
  <sheetFormatPr baseColWidth="10" defaultRowHeight="16" x14ac:dyDescent="0.2"/>
  <cols>
    <col min="3" max="3" width="18" customWidth="1"/>
  </cols>
  <sheetData>
    <row r="1" spans="1:15" x14ac:dyDescent="0.2">
      <c r="C1" t="s">
        <v>1</v>
      </c>
      <c r="D1" t="s">
        <v>2</v>
      </c>
      <c r="E1" t="s">
        <v>0</v>
      </c>
      <c r="F1" t="s">
        <v>3</v>
      </c>
      <c r="G1" t="s">
        <v>7</v>
      </c>
      <c r="H1" t="s">
        <v>12</v>
      </c>
      <c r="I1" t="s">
        <v>16</v>
      </c>
      <c r="J1" t="s">
        <v>20</v>
      </c>
      <c r="K1" t="s">
        <v>24</v>
      </c>
      <c r="L1" t="s">
        <v>28</v>
      </c>
      <c r="O1" t="s">
        <v>12</v>
      </c>
    </row>
    <row r="2" spans="1:15" ht="17" customHeight="1" x14ac:dyDescent="0.2">
      <c r="A2">
        <v>5</v>
      </c>
      <c r="C2" s="2" t="s">
        <v>44</v>
      </c>
      <c r="D2" s="2">
        <v>24</v>
      </c>
      <c r="E2" t="s">
        <v>39</v>
      </c>
      <c r="F2">
        <v>0</v>
      </c>
      <c r="G2" s="1">
        <v>0</v>
      </c>
      <c r="H2" s="1">
        <v>41.6666666666666</v>
      </c>
      <c r="I2" s="1">
        <v>91.6666666666666</v>
      </c>
      <c r="J2" s="1">
        <v>33.3333333333333</v>
      </c>
      <c r="K2" s="1">
        <v>0</v>
      </c>
      <c r="L2" s="1">
        <v>0</v>
      </c>
      <c r="O2" s="1">
        <v>41.6666666666666</v>
      </c>
    </row>
    <row r="3" spans="1:15" x14ac:dyDescent="0.2">
      <c r="A3">
        <v>5</v>
      </c>
      <c r="C3" s="2"/>
      <c r="D3" s="2"/>
      <c r="E3" t="s">
        <v>55</v>
      </c>
      <c r="F3">
        <v>1</v>
      </c>
      <c r="G3" s="1">
        <v>0</v>
      </c>
      <c r="H3" s="1">
        <f>SUM(O3)*100</f>
        <v>37.5</v>
      </c>
      <c r="I3" s="1">
        <v>79.1666666666666</v>
      </c>
      <c r="J3" s="1">
        <v>33.3333333333333</v>
      </c>
      <c r="K3" s="1">
        <v>0</v>
      </c>
      <c r="L3" s="1">
        <v>0</v>
      </c>
      <c r="O3" s="1">
        <v>0.375</v>
      </c>
    </row>
    <row r="4" spans="1:15" x14ac:dyDescent="0.2">
      <c r="A4">
        <v>5</v>
      </c>
      <c r="C4" s="2"/>
      <c r="D4" s="2"/>
      <c r="E4" t="s">
        <v>54</v>
      </c>
      <c r="F4">
        <v>4</v>
      </c>
      <c r="G4" s="1">
        <v>0</v>
      </c>
      <c r="H4" s="1">
        <f>SUM(O4)*100</f>
        <v>30.555555555555504</v>
      </c>
      <c r="I4" s="1">
        <v>70.8333333333333</v>
      </c>
      <c r="J4" s="1">
        <v>20.8333333333333</v>
      </c>
      <c r="K4" s="1">
        <v>0</v>
      </c>
      <c r="L4" s="1">
        <v>0</v>
      </c>
      <c r="O4" s="1">
        <v>0.30555555555555503</v>
      </c>
    </row>
    <row r="5" spans="1:15" x14ac:dyDescent="0.2">
      <c r="A5">
        <v>5</v>
      </c>
      <c r="C5" s="2"/>
      <c r="D5" s="2"/>
      <c r="E5" t="s">
        <v>43</v>
      </c>
      <c r="F5">
        <v>10</v>
      </c>
      <c r="G5" s="1">
        <v>0</v>
      </c>
      <c r="H5" s="1">
        <v>19.4444444444444</v>
      </c>
      <c r="I5" s="1">
        <v>54.1666666666666</v>
      </c>
      <c r="J5" s="1">
        <v>4.1666666666666599</v>
      </c>
      <c r="K5" s="1">
        <v>0</v>
      </c>
      <c r="L5" s="1">
        <v>0</v>
      </c>
      <c r="O5" s="1">
        <v>19.4444444444444</v>
      </c>
    </row>
    <row r="6" spans="1:15" x14ac:dyDescent="0.2">
      <c r="A6">
        <v>5</v>
      </c>
      <c r="C6" s="2"/>
      <c r="D6" s="2"/>
      <c r="E6" t="s">
        <v>42</v>
      </c>
      <c r="F6">
        <v>5</v>
      </c>
      <c r="G6" s="1">
        <v>0</v>
      </c>
      <c r="H6" s="1">
        <f>SUM(O6)*100</f>
        <v>29.1666666666666</v>
      </c>
      <c r="I6" s="1">
        <v>25</v>
      </c>
      <c r="J6" s="1">
        <v>62.5</v>
      </c>
      <c r="K6" s="1">
        <v>0</v>
      </c>
      <c r="L6" s="1">
        <v>0</v>
      </c>
      <c r="O6" s="1">
        <v>0.29166666666666602</v>
      </c>
    </row>
    <row r="7" spans="1:15" x14ac:dyDescent="0.2">
      <c r="A7">
        <v>5</v>
      </c>
      <c r="C7" s="2"/>
      <c r="D7" s="2"/>
      <c r="E7" t="s">
        <v>41</v>
      </c>
      <c r="F7">
        <v>5</v>
      </c>
      <c r="G7" s="1">
        <v>0</v>
      </c>
      <c r="H7" s="1">
        <f>SUM(O7)*100</f>
        <v>50</v>
      </c>
      <c r="I7" s="1">
        <v>75</v>
      </c>
      <c r="J7" s="1">
        <v>75</v>
      </c>
      <c r="K7" s="1">
        <v>0</v>
      </c>
      <c r="L7" s="1">
        <v>0</v>
      </c>
      <c r="O7" s="1">
        <v>0.5</v>
      </c>
    </row>
    <row r="8" spans="1:15" x14ac:dyDescent="0.2">
      <c r="A8">
        <v>6</v>
      </c>
      <c r="C8" s="2" t="s">
        <v>45</v>
      </c>
      <c r="D8" s="2">
        <v>8</v>
      </c>
      <c r="E8" t="s">
        <v>39</v>
      </c>
      <c r="F8">
        <v>0</v>
      </c>
      <c r="G8" s="1">
        <v>50</v>
      </c>
      <c r="H8" s="1">
        <f>SUM(O8)*100</f>
        <v>83.3333333333333</v>
      </c>
      <c r="I8" s="1">
        <v>100</v>
      </c>
      <c r="J8" s="1">
        <v>100</v>
      </c>
      <c r="K8" s="1">
        <v>50</v>
      </c>
      <c r="L8" s="1">
        <v>0</v>
      </c>
      <c r="O8" s="1">
        <v>0.83333333333333304</v>
      </c>
    </row>
    <row r="9" spans="1:15" x14ac:dyDescent="0.2">
      <c r="A9">
        <v>6</v>
      </c>
      <c r="C9" s="2"/>
      <c r="D9" s="2"/>
      <c r="E9" t="s">
        <v>55</v>
      </c>
      <c r="F9">
        <v>0</v>
      </c>
      <c r="G9" s="1">
        <v>50</v>
      </c>
      <c r="H9" s="1">
        <f>SUM(O9)*100</f>
        <v>83.3333333333333</v>
      </c>
      <c r="I9" s="1">
        <v>100</v>
      </c>
      <c r="J9" s="1">
        <v>100</v>
      </c>
      <c r="K9" s="1">
        <v>50</v>
      </c>
      <c r="L9" s="1">
        <v>0</v>
      </c>
      <c r="O9" s="1">
        <v>0.83333333333333304</v>
      </c>
    </row>
    <row r="10" spans="1:15" x14ac:dyDescent="0.2">
      <c r="A10">
        <v>6</v>
      </c>
      <c r="C10" s="2"/>
      <c r="D10" s="2"/>
      <c r="E10" t="s">
        <v>54</v>
      </c>
      <c r="F10">
        <v>0</v>
      </c>
      <c r="G10" s="1">
        <v>50</v>
      </c>
      <c r="H10" s="1">
        <f>SUM(O10)*100</f>
        <v>83.3333333333333</v>
      </c>
      <c r="I10" s="1">
        <v>100</v>
      </c>
      <c r="J10" s="1">
        <v>100</v>
      </c>
      <c r="K10" s="1">
        <v>50</v>
      </c>
      <c r="L10" s="1">
        <v>0</v>
      </c>
      <c r="O10" s="1">
        <v>0.83333333333333304</v>
      </c>
    </row>
    <row r="11" spans="1:15" x14ac:dyDescent="0.2">
      <c r="A11">
        <v>6</v>
      </c>
      <c r="C11" s="2"/>
      <c r="D11" s="2"/>
      <c r="E11" t="s">
        <v>43</v>
      </c>
      <c r="F11">
        <v>3</v>
      </c>
      <c r="G11" s="1">
        <v>12.5</v>
      </c>
      <c r="H11" s="1">
        <v>29.1666666666666</v>
      </c>
      <c r="I11" s="1">
        <v>62.5</v>
      </c>
      <c r="J11" s="1">
        <v>12.5</v>
      </c>
      <c r="K11" s="1">
        <v>12.5</v>
      </c>
      <c r="L11" s="1">
        <v>0</v>
      </c>
      <c r="O11" s="1">
        <v>29.1666666666666</v>
      </c>
    </row>
    <row r="12" spans="1:15" x14ac:dyDescent="0.2">
      <c r="A12">
        <v>6</v>
      </c>
      <c r="C12" s="2"/>
      <c r="D12" s="2"/>
      <c r="E12" t="s">
        <v>42</v>
      </c>
      <c r="F12">
        <v>0</v>
      </c>
      <c r="G12" s="1">
        <v>0</v>
      </c>
      <c r="H12" s="1">
        <f>SUM(O12)*100</f>
        <v>58.3333333333333</v>
      </c>
      <c r="I12" s="1">
        <v>50</v>
      </c>
      <c r="J12" s="1">
        <v>100</v>
      </c>
      <c r="K12" s="1">
        <v>25</v>
      </c>
      <c r="L12" s="1">
        <v>0</v>
      </c>
      <c r="O12" s="1">
        <v>0.58333333333333304</v>
      </c>
    </row>
    <row r="13" spans="1:15" x14ac:dyDescent="0.2">
      <c r="A13">
        <v>6</v>
      </c>
      <c r="C13" s="2"/>
      <c r="D13" s="2"/>
      <c r="E13" t="s">
        <v>41</v>
      </c>
      <c r="F13">
        <v>0</v>
      </c>
      <c r="G13" s="1">
        <v>50</v>
      </c>
      <c r="H13" s="1">
        <f t="shared" ref="H13:H16" si="0">SUM(O13)*100</f>
        <v>83.3333333333333</v>
      </c>
      <c r="I13" s="1">
        <v>100</v>
      </c>
      <c r="J13" s="1">
        <v>100</v>
      </c>
      <c r="K13" s="1">
        <v>50</v>
      </c>
      <c r="L13" s="1">
        <v>0</v>
      </c>
      <c r="O13" s="1">
        <v>0.83333333333333304</v>
      </c>
    </row>
    <row r="14" spans="1:15" x14ac:dyDescent="0.2">
      <c r="A14">
        <v>4</v>
      </c>
      <c r="C14" s="2" t="s">
        <v>46</v>
      </c>
      <c r="D14" s="2">
        <v>34</v>
      </c>
      <c r="E14" t="s">
        <v>39</v>
      </c>
      <c r="F14">
        <v>2</v>
      </c>
      <c r="G14" s="1">
        <v>0</v>
      </c>
      <c r="H14" s="1">
        <f t="shared" si="0"/>
        <v>10.784313725490099</v>
      </c>
      <c r="I14" s="1">
        <v>29.411764705882302</v>
      </c>
      <c r="J14" s="1">
        <v>2.9411764705882302</v>
      </c>
      <c r="K14" s="1">
        <v>0</v>
      </c>
      <c r="L14" s="1">
        <v>0</v>
      </c>
      <c r="O14" s="1">
        <v>0.10784313725490099</v>
      </c>
    </row>
    <row r="15" spans="1:15" x14ac:dyDescent="0.2">
      <c r="A15">
        <v>4</v>
      </c>
      <c r="C15" s="2"/>
      <c r="D15" s="2"/>
      <c r="E15" t="s">
        <v>55</v>
      </c>
      <c r="F15">
        <v>1</v>
      </c>
      <c r="G15" s="1">
        <v>0</v>
      </c>
      <c r="H15" s="1">
        <f t="shared" si="0"/>
        <v>10.784313725490099</v>
      </c>
      <c r="I15" s="1">
        <v>29.411764705882302</v>
      </c>
      <c r="J15" s="1">
        <v>2.9411764705882302</v>
      </c>
      <c r="K15" s="1">
        <v>0</v>
      </c>
      <c r="L15" s="1">
        <v>0</v>
      </c>
      <c r="O15" s="1">
        <v>0.10784313725490099</v>
      </c>
    </row>
    <row r="16" spans="1:15" x14ac:dyDescent="0.2">
      <c r="A16">
        <v>4</v>
      </c>
      <c r="C16" s="2"/>
      <c r="D16" s="2"/>
      <c r="E16" t="s">
        <v>54</v>
      </c>
      <c r="F16">
        <v>3</v>
      </c>
      <c r="G16" s="1">
        <v>0</v>
      </c>
      <c r="H16" s="1">
        <f t="shared" si="0"/>
        <v>7.8431372549018992</v>
      </c>
      <c r="I16" s="1">
        <v>20.588235294117599</v>
      </c>
      <c r="J16" s="1">
        <v>2.9411764705882302</v>
      </c>
      <c r="K16" s="1">
        <v>0</v>
      </c>
      <c r="L16" s="1">
        <v>0</v>
      </c>
      <c r="O16" s="1">
        <v>7.8431372549018996E-2</v>
      </c>
    </row>
    <row r="17" spans="1:15" x14ac:dyDescent="0.2">
      <c r="A17">
        <v>4</v>
      </c>
      <c r="C17" s="2"/>
      <c r="D17" s="2"/>
      <c r="E17" t="s">
        <v>43</v>
      </c>
      <c r="F17">
        <v>6</v>
      </c>
      <c r="G17" s="1">
        <v>0</v>
      </c>
      <c r="H17" s="1">
        <v>14.705882352941099</v>
      </c>
      <c r="I17" s="1">
        <v>41.176470588235198</v>
      </c>
      <c r="J17" s="1">
        <v>2.9411764705882302</v>
      </c>
      <c r="K17" s="1">
        <v>0</v>
      </c>
      <c r="L17" s="1">
        <v>0</v>
      </c>
      <c r="O17" s="1">
        <v>14.705882352941099</v>
      </c>
    </row>
    <row r="18" spans="1:15" x14ac:dyDescent="0.2">
      <c r="A18">
        <v>4</v>
      </c>
      <c r="C18" s="2"/>
      <c r="D18" s="2"/>
      <c r="E18" t="s">
        <v>42</v>
      </c>
      <c r="F18">
        <v>0</v>
      </c>
      <c r="G18" s="1">
        <v>0</v>
      </c>
      <c r="H18" s="1">
        <f t="shared" ref="H18:H22" si="1">SUM(O18)*100</f>
        <v>12.7450980392156</v>
      </c>
      <c r="I18" s="1">
        <v>35.294117647058798</v>
      </c>
      <c r="J18" s="1">
        <v>2.9411764705882302</v>
      </c>
      <c r="K18" s="1">
        <v>0</v>
      </c>
      <c r="L18" s="1">
        <v>0</v>
      </c>
      <c r="O18" s="1">
        <v>0.12745098039215599</v>
      </c>
    </row>
    <row r="19" spans="1:15" x14ac:dyDescent="0.2">
      <c r="A19">
        <v>4</v>
      </c>
      <c r="C19" s="2"/>
      <c r="D19" s="2"/>
      <c r="E19" t="s">
        <v>41</v>
      </c>
      <c r="F19">
        <v>8</v>
      </c>
      <c r="G19" s="1">
        <v>0</v>
      </c>
      <c r="H19" s="1">
        <f t="shared" si="1"/>
        <v>9.8039215686274002</v>
      </c>
      <c r="I19" s="1">
        <v>29.411764705882302</v>
      </c>
      <c r="J19" s="1">
        <v>0</v>
      </c>
      <c r="K19" s="1">
        <v>0</v>
      </c>
      <c r="L19" s="1">
        <v>0</v>
      </c>
      <c r="O19" s="1">
        <v>9.8039215686273995E-2</v>
      </c>
    </row>
    <row r="20" spans="1:15" x14ac:dyDescent="0.2">
      <c r="A20">
        <v>7</v>
      </c>
      <c r="C20" s="2" t="s">
        <v>47</v>
      </c>
      <c r="D20" s="2">
        <v>13</v>
      </c>
      <c r="E20" t="s">
        <v>39</v>
      </c>
      <c r="F20">
        <v>0</v>
      </c>
      <c r="G20" s="1">
        <v>100</v>
      </c>
      <c r="H20" s="1">
        <f t="shared" si="1"/>
        <v>100</v>
      </c>
      <c r="I20" s="1">
        <v>100</v>
      </c>
      <c r="J20" s="1">
        <v>100</v>
      </c>
      <c r="K20" s="1">
        <v>100</v>
      </c>
      <c r="L20" s="1">
        <v>0</v>
      </c>
      <c r="O20" s="1">
        <v>1</v>
      </c>
    </row>
    <row r="21" spans="1:15" x14ac:dyDescent="0.2">
      <c r="A21">
        <v>7</v>
      </c>
      <c r="C21" s="2"/>
      <c r="D21" s="2"/>
      <c r="E21" t="s">
        <v>55</v>
      </c>
      <c r="F21">
        <v>0</v>
      </c>
      <c r="G21" s="1">
        <v>0</v>
      </c>
      <c r="H21" s="1">
        <f t="shared" si="1"/>
        <v>58.9743589743589</v>
      </c>
      <c r="I21" s="1">
        <v>100</v>
      </c>
      <c r="J21" s="1">
        <v>76.923076923076906</v>
      </c>
      <c r="K21" s="1">
        <v>0</v>
      </c>
      <c r="L21" s="1">
        <v>0</v>
      </c>
      <c r="O21" s="1">
        <v>0.58974358974358898</v>
      </c>
    </row>
    <row r="22" spans="1:15" x14ac:dyDescent="0.2">
      <c r="A22">
        <v>7</v>
      </c>
      <c r="C22" s="2"/>
      <c r="D22" s="2"/>
      <c r="E22" t="s">
        <v>54</v>
      </c>
      <c r="F22">
        <v>1</v>
      </c>
      <c r="G22" s="1">
        <v>0</v>
      </c>
      <c r="H22" s="1">
        <f t="shared" si="1"/>
        <v>53.846153846153797</v>
      </c>
      <c r="I22" s="1">
        <v>92.307692307692307</v>
      </c>
      <c r="J22" s="1">
        <v>69.230769230769198</v>
      </c>
      <c r="K22" s="1">
        <v>0</v>
      </c>
      <c r="L22" s="1">
        <v>0</v>
      </c>
      <c r="O22" s="1">
        <v>0.53846153846153799</v>
      </c>
    </row>
    <row r="23" spans="1:15" x14ac:dyDescent="0.2">
      <c r="A23">
        <v>7</v>
      </c>
      <c r="C23" s="2"/>
      <c r="D23" s="2"/>
      <c r="E23" t="s">
        <v>43</v>
      </c>
      <c r="F23">
        <v>11</v>
      </c>
      <c r="G23" s="1">
        <v>0</v>
      </c>
      <c r="H23" s="1">
        <v>10.2564102564102</v>
      </c>
      <c r="I23" s="1">
        <v>15.3846153846153</v>
      </c>
      <c r="J23" s="1">
        <v>15.3846153846153</v>
      </c>
      <c r="K23" s="1">
        <v>0</v>
      </c>
      <c r="L23" s="1">
        <v>0</v>
      </c>
      <c r="O23" s="1">
        <v>10.2564102564102</v>
      </c>
    </row>
    <row r="24" spans="1:15" x14ac:dyDescent="0.2">
      <c r="A24">
        <v>7</v>
      </c>
      <c r="C24" s="2"/>
      <c r="D24" s="2"/>
      <c r="E24" t="s">
        <v>42</v>
      </c>
      <c r="F24">
        <v>0</v>
      </c>
      <c r="G24" s="1">
        <v>0</v>
      </c>
      <c r="H24" s="1">
        <f t="shared" ref="H24:H28" si="2">SUM(O24)*100</f>
        <v>23.076923076923002</v>
      </c>
      <c r="I24" s="1">
        <v>69.230769230769198</v>
      </c>
      <c r="J24" s="1">
        <v>0</v>
      </c>
      <c r="K24" s="1">
        <v>0</v>
      </c>
      <c r="L24" s="1">
        <v>0</v>
      </c>
      <c r="O24" s="1">
        <v>0.23076923076923</v>
      </c>
    </row>
    <row r="25" spans="1:15" x14ac:dyDescent="0.2">
      <c r="A25">
        <v>7</v>
      </c>
      <c r="C25" s="2"/>
      <c r="D25" s="2"/>
      <c r="E25" t="s">
        <v>41</v>
      </c>
      <c r="F25">
        <v>0</v>
      </c>
      <c r="G25" s="1">
        <v>0</v>
      </c>
      <c r="H25" s="1">
        <f t="shared" si="2"/>
        <v>41.025641025641001</v>
      </c>
      <c r="I25" s="1">
        <v>100</v>
      </c>
      <c r="J25" s="1">
        <v>0</v>
      </c>
      <c r="K25" s="1">
        <v>23.076923076922998</v>
      </c>
      <c r="L25" s="1">
        <v>0</v>
      </c>
      <c r="O25" s="1">
        <v>0.41025641025641002</v>
      </c>
    </row>
    <row r="26" spans="1:15" x14ac:dyDescent="0.2">
      <c r="A26">
        <v>8</v>
      </c>
      <c r="C26" s="2" t="s">
        <v>48</v>
      </c>
      <c r="D26" s="2">
        <v>7</v>
      </c>
      <c r="E26" t="s">
        <v>39</v>
      </c>
      <c r="F26">
        <v>0</v>
      </c>
      <c r="G26" s="1">
        <v>71.428571428571402</v>
      </c>
      <c r="H26" s="1">
        <f t="shared" si="2"/>
        <v>85.714285714285694</v>
      </c>
      <c r="I26" s="1">
        <v>100</v>
      </c>
      <c r="J26" s="1">
        <v>85.714285714285694</v>
      </c>
      <c r="K26" s="1">
        <v>71.428571428571402</v>
      </c>
      <c r="L26" s="1">
        <v>0</v>
      </c>
      <c r="O26" s="1">
        <v>0.85714285714285698</v>
      </c>
    </row>
    <row r="27" spans="1:15" x14ac:dyDescent="0.2">
      <c r="A27">
        <v>8</v>
      </c>
      <c r="C27" s="2"/>
      <c r="D27" s="2"/>
      <c r="E27" t="s">
        <v>55</v>
      </c>
      <c r="F27">
        <v>0</v>
      </c>
      <c r="G27" s="1">
        <v>57.142857142857103</v>
      </c>
      <c r="H27" s="1">
        <f t="shared" si="2"/>
        <v>71.428571428571402</v>
      </c>
      <c r="I27" s="1">
        <v>100</v>
      </c>
      <c r="J27" s="1">
        <v>57.142857142857103</v>
      </c>
      <c r="K27" s="1">
        <v>57.142857142857103</v>
      </c>
      <c r="L27" s="1">
        <v>0</v>
      </c>
      <c r="O27" s="1">
        <v>0.71428571428571397</v>
      </c>
    </row>
    <row r="28" spans="1:15" x14ac:dyDescent="0.2">
      <c r="A28">
        <v>8</v>
      </c>
      <c r="C28" s="2"/>
      <c r="D28" s="2"/>
      <c r="E28" t="s">
        <v>54</v>
      </c>
      <c r="F28">
        <v>1</v>
      </c>
      <c r="G28" s="1">
        <v>42.857142857142797</v>
      </c>
      <c r="H28" s="1">
        <f t="shared" si="2"/>
        <v>57.142857142857096</v>
      </c>
      <c r="I28" s="1">
        <v>85.714285714285694</v>
      </c>
      <c r="J28" s="1">
        <v>42.857142857142797</v>
      </c>
      <c r="K28" s="1">
        <v>42.857142857142797</v>
      </c>
      <c r="L28" s="1">
        <v>0</v>
      </c>
      <c r="O28" s="1">
        <v>0.57142857142857095</v>
      </c>
    </row>
    <row r="29" spans="1:15" x14ac:dyDescent="0.2">
      <c r="A29">
        <v>8</v>
      </c>
      <c r="C29" s="2"/>
      <c r="D29" s="2"/>
      <c r="E29" t="s">
        <v>43</v>
      </c>
      <c r="F29">
        <v>4</v>
      </c>
      <c r="G29" s="1">
        <v>0</v>
      </c>
      <c r="H29" s="1">
        <v>23.8095238095238</v>
      </c>
      <c r="I29" s="1">
        <v>42.857142857142797</v>
      </c>
      <c r="J29" s="1">
        <v>14.285714285714199</v>
      </c>
      <c r="K29" s="1">
        <v>14.285714285714199</v>
      </c>
      <c r="L29" s="1">
        <v>0</v>
      </c>
      <c r="O29" s="1">
        <v>23.8095238095238</v>
      </c>
    </row>
    <row r="30" spans="1:15" x14ac:dyDescent="0.2">
      <c r="A30">
        <v>8</v>
      </c>
      <c r="C30" s="2"/>
      <c r="D30" s="2"/>
      <c r="E30" t="s">
        <v>42</v>
      </c>
      <c r="F30">
        <v>0</v>
      </c>
      <c r="G30" s="1">
        <v>0</v>
      </c>
      <c r="H30" s="1">
        <f t="shared" ref="H30:H31" si="3">SUM(O30)*100</f>
        <v>42.857142857142797</v>
      </c>
      <c r="I30" s="1">
        <v>42.857142857142797</v>
      </c>
      <c r="J30" s="1">
        <v>85.714285714285694</v>
      </c>
      <c r="K30" s="1">
        <v>0</v>
      </c>
      <c r="L30" s="1">
        <v>0</v>
      </c>
      <c r="O30" s="1">
        <v>0.42857142857142799</v>
      </c>
    </row>
    <row r="31" spans="1:15" x14ac:dyDescent="0.2">
      <c r="A31">
        <v>8</v>
      </c>
      <c r="C31" s="2"/>
      <c r="D31" s="2"/>
      <c r="E31" t="s">
        <v>41</v>
      </c>
      <c r="F31">
        <v>0</v>
      </c>
      <c r="G31" s="1">
        <v>28.571428571428498</v>
      </c>
      <c r="H31" s="1">
        <f t="shared" si="3"/>
        <v>71.428571428571402</v>
      </c>
      <c r="I31" s="1">
        <v>100</v>
      </c>
      <c r="J31" s="1">
        <v>85.714285714285694</v>
      </c>
      <c r="K31" s="1">
        <v>28.571428571428498</v>
      </c>
      <c r="L31" s="1">
        <v>0</v>
      </c>
      <c r="O31" s="1">
        <v>0.71428571428571397</v>
      </c>
    </row>
    <row r="32" spans="1:15" x14ac:dyDescent="0.2">
      <c r="A32">
        <v>3</v>
      </c>
      <c r="C32" s="2" t="s">
        <v>49</v>
      </c>
      <c r="D32" s="2">
        <v>28</v>
      </c>
      <c r="E32" t="s">
        <v>39</v>
      </c>
      <c r="F32">
        <v>0</v>
      </c>
      <c r="G32" s="1">
        <v>32.142857142857103</v>
      </c>
      <c r="H32" s="1">
        <f t="shared" ref="H32:H34" si="4">SUM(O32)*100</f>
        <v>45.238095238095198</v>
      </c>
      <c r="I32" s="1">
        <v>57.142857142857103</v>
      </c>
      <c r="J32" s="1">
        <v>46.428571428571402</v>
      </c>
      <c r="K32" s="1">
        <v>32.142857142857103</v>
      </c>
      <c r="L32" s="1">
        <v>66.6666666666666</v>
      </c>
      <c r="O32" s="1">
        <v>0.452380952380952</v>
      </c>
    </row>
    <row r="33" spans="1:15" x14ac:dyDescent="0.2">
      <c r="A33">
        <v>3</v>
      </c>
      <c r="C33" s="2"/>
      <c r="D33" s="2"/>
      <c r="E33" t="s">
        <v>55</v>
      </c>
      <c r="F33">
        <v>4</v>
      </c>
      <c r="G33" s="1">
        <v>35.714285714285701</v>
      </c>
      <c r="H33" s="1">
        <f t="shared" si="4"/>
        <v>58.3333333333333</v>
      </c>
      <c r="I33" s="1">
        <v>60.714285714285701</v>
      </c>
      <c r="J33" s="1">
        <v>78.571428571428498</v>
      </c>
      <c r="K33" s="1">
        <v>35.714285714285701</v>
      </c>
      <c r="L33" s="1">
        <v>51.851851851851798</v>
      </c>
      <c r="O33" s="1">
        <v>0.58333333333333304</v>
      </c>
    </row>
    <row r="34" spans="1:15" x14ac:dyDescent="0.2">
      <c r="A34">
        <v>3</v>
      </c>
      <c r="C34" s="2"/>
      <c r="D34" s="2"/>
      <c r="E34" t="s">
        <v>54</v>
      </c>
      <c r="F34">
        <v>15</v>
      </c>
      <c r="G34" s="1">
        <v>21.428571428571399</v>
      </c>
      <c r="H34" s="1">
        <f t="shared" si="4"/>
        <v>34.523809523809504</v>
      </c>
      <c r="I34" s="1">
        <v>35.714285714285701</v>
      </c>
      <c r="J34" s="1">
        <v>46.428571428571402</v>
      </c>
      <c r="K34" s="1">
        <v>21.428571428571399</v>
      </c>
      <c r="L34" s="1">
        <v>60</v>
      </c>
      <c r="O34" s="1">
        <v>0.34523809523809501</v>
      </c>
    </row>
    <row r="35" spans="1:15" x14ac:dyDescent="0.2">
      <c r="A35">
        <v>3</v>
      </c>
      <c r="C35" s="2"/>
      <c r="D35" s="2"/>
      <c r="E35" t="s">
        <v>43</v>
      </c>
      <c r="F35">
        <v>17</v>
      </c>
      <c r="G35" s="1">
        <v>10.714285714285699</v>
      </c>
      <c r="H35" s="1">
        <v>23.8095238095238</v>
      </c>
      <c r="I35" s="1">
        <v>28.571428571428498</v>
      </c>
      <c r="J35" s="1">
        <v>25</v>
      </c>
      <c r="K35" s="1">
        <v>17.857142857142801</v>
      </c>
      <c r="L35" s="1">
        <v>0</v>
      </c>
      <c r="O35" s="1">
        <v>23.8095238095238</v>
      </c>
    </row>
    <row r="36" spans="1:15" x14ac:dyDescent="0.2">
      <c r="A36">
        <v>3</v>
      </c>
      <c r="C36" s="2"/>
      <c r="D36" s="2"/>
      <c r="E36" t="s">
        <v>42</v>
      </c>
      <c r="F36">
        <v>19</v>
      </c>
      <c r="G36" s="1">
        <v>0</v>
      </c>
      <c r="H36" s="1">
        <f t="shared" ref="H36:H37" si="5">SUM(O36)*100</f>
        <v>15.4761904761904</v>
      </c>
      <c r="I36" s="1">
        <v>28.571428571428498</v>
      </c>
      <c r="J36" s="1">
        <v>17.857142857142801</v>
      </c>
      <c r="K36" s="1">
        <v>0</v>
      </c>
      <c r="L36" s="1">
        <v>0</v>
      </c>
      <c r="O36" s="1">
        <v>0.15476190476190399</v>
      </c>
    </row>
    <row r="37" spans="1:15" x14ac:dyDescent="0.2">
      <c r="A37">
        <v>3</v>
      </c>
      <c r="C37" s="2"/>
      <c r="D37" s="2"/>
      <c r="E37" t="s">
        <v>41</v>
      </c>
      <c r="F37">
        <v>13</v>
      </c>
      <c r="G37" s="1">
        <v>35.714285714285701</v>
      </c>
      <c r="H37" s="1">
        <f t="shared" si="5"/>
        <v>45.238095238095198</v>
      </c>
      <c r="I37" s="1">
        <v>53.571428571428498</v>
      </c>
      <c r="J37" s="1">
        <v>39.285714285714199</v>
      </c>
      <c r="K37" s="1">
        <v>42.857142857142797</v>
      </c>
      <c r="L37" s="1">
        <v>0</v>
      </c>
      <c r="O37" s="1">
        <v>0.452380952380952</v>
      </c>
    </row>
  </sheetData>
  <mergeCells count="12">
    <mergeCell ref="D32:D37"/>
    <mergeCell ref="C32:C37"/>
    <mergeCell ref="C26:C31"/>
    <mergeCell ref="C20:C25"/>
    <mergeCell ref="C14:C19"/>
    <mergeCell ref="C8:C13"/>
    <mergeCell ref="C2:C7"/>
    <mergeCell ref="D2:D7"/>
    <mergeCell ref="D8:D13"/>
    <mergeCell ref="D14:D19"/>
    <mergeCell ref="D20:D25"/>
    <mergeCell ref="D26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overview_2024-12-19</vt:lpstr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Piek Vossen</dc:creator>
  <cp:lastModifiedBy>Piek Vossen</cp:lastModifiedBy>
  <dcterms:created xsi:type="dcterms:W3CDTF">2024-12-19T06:50:45Z</dcterms:created>
  <dcterms:modified xsi:type="dcterms:W3CDTF">2024-12-19T11:14:51Z</dcterms:modified>
</cp:coreProperties>
</file>