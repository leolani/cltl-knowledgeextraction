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k/Desktop/d-Leolani/cltl-knowledgeextraction/examples/evaluation_reports/"/>
    </mc:Choice>
  </mc:AlternateContent>
  <xr:revisionPtr revIDLastSave="0" documentId="13_ncr:1_{DF17429F-13EE-D44F-99E7-7D19597625E5}" xr6:coauthVersionLast="47" xr6:coauthVersionMax="47" xr10:uidLastSave="{00000000-0000-0000-0000-000000000000}"/>
  <bookViews>
    <workbookView xWindow="5380" yWindow="5460" windowWidth="35840" windowHeight="16540" activeTab="3" xr2:uid="{DE0DC33A-229D-0143-99C4-B8029C4EA5A0}"/>
  </bookViews>
  <sheets>
    <sheet name="overview_2024-12-16" sheetId="1" r:id="rId1"/>
    <sheet name="Blad1" sheetId="2" r:id="rId2"/>
    <sheet name="Blad2" sheetId="3" r:id="rId3"/>
    <sheet name="Blad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4" l="1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27" i="4"/>
  <c r="H26" i="4"/>
  <c r="H25" i="4"/>
  <c r="H24" i="4"/>
  <c r="H23" i="4"/>
  <c r="H22" i="4"/>
  <c r="H21" i="4"/>
  <c r="H20" i="4"/>
  <c r="H19" i="4"/>
  <c r="H18" i="4"/>
  <c r="H17" i="4"/>
  <c r="H16" i="4"/>
  <c r="H13" i="4"/>
  <c r="H12" i="4"/>
  <c r="H11" i="4"/>
  <c r="H10" i="4"/>
  <c r="H9" i="4"/>
  <c r="H8" i="4"/>
  <c r="H7" i="4"/>
  <c r="H6" i="4"/>
  <c r="H5" i="4"/>
  <c r="H4" i="4"/>
  <c r="H3" i="4"/>
  <c r="H2" i="4"/>
</calcChain>
</file>

<file path=xl/sharedStrings.xml><?xml version="1.0" encoding="utf-8"?>
<sst xmlns="http://schemas.openxmlformats.org/spreadsheetml/2006/main" count="312" uniqueCount="45">
  <si>
    <t>analyzer</t>
  </si>
  <si>
    <t>test_file</t>
  </si>
  <si>
    <t>nr_utterances</t>
  </si>
  <si>
    <t>no_triples</t>
  </si>
  <si>
    <t>correct_triples</t>
  </si>
  <si>
    <t>incorrect_triples</t>
  </si>
  <si>
    <t>triple_precision</t>
  </si>
  <si>
    <t>total triple elements</t>
  </si>
  <si>
    <t>correct triple elements</t>
  </si>
  <si>
    <t>incorrect triple elements</t>
  </si>
  <si>
    <t>precision triple elements</t>
  </si>
  <si>
    <t>correct_subjects</t>
  </si>
  <si>
    <t>incorrect_subjects</t>
  </si>
  <si>
    <t>subjects_precision</t>
  </si>
  <si>
    <t>correct_objects</t>
  </si>
  <si>
    <t>incorrect_objects</t>
  </si>
  <si>
    <t>objects_precision</t>
  </si>
  <si>
    <t>correct_predicates</t>
  </si>
  <si>
    <t>incorrect_predicates</t>
  </si>
  <si>
    <t>predicates_precision</t>
  </si>
  <si>
    <t>correct_perspectives</t>
  </si>
  <si>
    <t>incorrect_perspectives</t>
  </si>
  <si>
    <t>perspectives_precision</t>
  </si>
  <si>
    <t>CONV</t>
  </si>
  <si>
    <t>./data/statements.txt</t>
  </si>
  <si>
    <t>./data/verb-questions.txt</t>
  </si>
  <si>
    <t>./data/wh-questions.txt</t>
  </si>
  <si>
    <t>./data/perspective.txt</t>
  </si>
  <si>
    <t>./data/kinship-friends.txt</t>
  </si>
  <si>
    <t>./data/activities.txt</t>
  </si>
  <si>
    <t>./data/feelings.txt</t>
  </si>
  <si>
    <t>./data/locations.txt</t>
  </si>
  <si>
    <t>./data/professions.txt</t>
  </si>
  <si>
    <t>CFG</t>
  </si>
  <si>
    <t>CFG-a</t>
  </si>
  <si>
    <t>spaCy</t>
  </si>
  <si>
    <t>openIE</t>
  </si>
  <si>
    <t>statements</t>
  </si>
  <si>
    <t>verb-questions</t>
  </si>
  <si>
    <t>wh-questions</t>
  </si>
  <si>
    <t>activities</t>
  </si>
  <si>
    <t>feelings</t>
  </si>
  <si>
    <t>locations</t>
  </si>
  <si>
    <t>professions</t>
  </si>
  <si>
    <t>kinship friends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</si>
</sst>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2" fontId="0" fillId="0" borderId="0" xfId="0" applyNumberFormat="1"/>
    <xf numFmtId="49" fontId="0" fillId="0" borderId="0" xfId="0" applyNumberFormat="1" applyAlignment="1">
      <alignment vertical="top" wrapText="1"/>
    </xf>
    <xf numFmtId="0" fontId="0" fillId="0" borderId="10" xfId="0" applyBorder="1"/>
    <xf numFmtId="0" fontId="0" fillId="0" borderId="11" xfId="0" applyBorder="1"/>
    <xf numFmtId="2" fontId="0" fillId="0" borderId="11" xfId="0" applyNumberFormat="1" applyBorder="1"/>
    <xf numFmtId="2" fontId="0" fillId="0" borderId="12" xfId="0" applyNumberFormat="1" applyBorder="1"/>
    <xf numFmtId="0" fontId="0" fillId="0" borderId="13" xfId="0" applyBorder="1"/>
    <xf numFmtId="2" fontId="0" fillId="0" borderId="14" xfId="0" applyNumberFormat="1" applyBorder="1"/>
    <xf numFmtId="0" fontId="0" fillId="0" borderId="15" xfId="0" applyBorder="1"/>
    <xf numFmtId="0" fontId="0" fillId="0" borderId="16" xfId="0" applyBorder="1"/>
    <xf numFmtId="2" fontId="0" fillId="0" borderId="16" xfId="0" applyNumberFormat="1" applyBorder="1"/>
    <xf numFmtId="2" fontId="0" fillId="0" borderId="17" xfId="0" applyNumberFormat="1" applyBorder="1"/>
    <xf numFmtId="2" fontId="0" fillId="33" borderId="16" xfId="0" applyNumberFormat="1" applyFill="1" applyBorder="1"/>
    <xf numFmtId="2" fontId="0" fillId="33" borderId="0" xfId="0" applyNumberFormat="1" applyFill="1"/>
    <xf numFmtId="2" fontId="0" fillId="33" borderId="11" xfId="0" applyNumberFormat="1" applyFill="1" applyBorder="1"/>
    <xf numFmtId="2" fontId="0" fillId="33" borderId="12" xfId="0" applyNumberFormat="1" applyFill="1" applyBorder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13E7B-F3EB-9F4F-BF25-D65306DB6DAE}">
  <dimension ref="A1:X37"/>
  <sheetViews>
    <sheetView zoomScale="96" zoomScaleNormal="96" workbookViewId="0">
      <selection sqref="A1:X37"/>
    </sheetView>
  </sheetViews>
  <sheetFormatPr baseColWidth="10" defaultColWidth="14.1640625" defaultRowHeight="16" x14ac:dyDescent="0.2"/>
  <cols>
    <col min="4" max="4" width="5.83203125" customWidth="1"/>
    <col min="5" max="6" width="5.33203125" customWidth="1"/>
    <col min="7" max="7" width="6.83203125" customWidth="1"/>
    <col min="8" max="8" width="9.33203125" customWidth="1"/>
    <col min="9" max="9" width="10.33203125" customWidth="1"/>
    <col min="10" max="10" width="10.5" customWidth="1"/>
    <col min="11" max="11" width="9.5" customWidth="1"/>
    <col min="12" max="12" width="9.6640625" customWidth="1"/>
    <col min="13" max="13" width="8.5" customWidth="1"/>
    <col min="14" max="14" width="6.1640625" customWidth="1"/>
    <col min="15" max="15" width="9.6640625" customWidth="1"/>
    <col min="16" max="16" width="5.5" customWidth="1"/>
    <col min="17" max="17" width="6.5" customWidth="1"/>
    <col min="18" max="18" width="8.5" customWidth="1"/>
    <col min="19" max="19" width="9.33203125" customWidth="1"/>
    <col min="20" max="20" width="9.6640625" customWidth="1"/>
    <col min="21" max="21" width="10.33203125" customWidth="1"/>
    <col min="22" max="23" width="9" customWidth="1"/>
    <col min="24" max="24" width="10" customWidth="1"/>
  </cols>
  <sheetData>
    <row r="1" spans="1:24" s="2" customFormat="1" ht="69" thickBo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</row>
    <row r="2" spans="1:24" x14ac:dyDescent="0.2">
      <c r="A2" s="3">
        <v>5</v>
      </c>
      <c r="B2" s="4" t="s">
        <v>33</v>
      </c>
      <c r="C2" s="4" t="s">
        <v>29</v>
      </c>
      <c r="D2" s="4">
        <v>24</v>
      </c>
      <c r="E2" s="4">
        <v>0</v>
      </c>
      <c r="F2" s="4">
        <v>0</v>
      </c>
      <c r="G2" s="4">
        <v>24</v>
      </c>
      <c r="H2" s="5">
        <v>0</v>
      </c>
      <c r="I2" s="4">
        <v>72</v>
      </c>
      <c r="J2" s="4">
        <v>30</v>
      </c>
      <c r="K2" s="4">
        <v>42</v>
      </c>
      <c r="L2" s="5">
        <v>0.41666666666666602</v>
      </c>
      <c r="M2" s="4">
        <v>22</v>
      </c>
      <c r="N2" s="4">
        <v>2</v>
      </c>
      <c r="O2" s="15">
        <v>91.6666666666666</v>
      </c>
      <c r="P2" s="4">
        <v>8</v>
      </c>
      <c r="Q2" s="4">
        <v>16</v>
      </c>
      <c r="R2" s="5">
        <v>33.3333333333333</v>
      </c>
      <c r="S2" s="4">
        <v>0</v>
      </c>
      <c r="T2" s="4">
        <v>24</v>
      </c>
      <c r="U2" s="5">
        <v>0</v>
      </c>
      <c r="V2" s="4">
        <v>0</v>
      </c>
      <c r="W2" s="4">
        <v>0</v>
      </c>
      <c r="X2" s="6">
        <v>0</v>
      </c>
    </row>
    <row r="3" spans="1:24" x14ac:dyDescent="0.2">
      <c r="A3" s="7">
        <v>5</v>
      </c>
      <c r="B3" t="s">
        <v>23</v>
      </c>
      <c r="C3" t="s">
        <v>29</v>
      </c>
      <c r="D3">
        <v>24</v>
      </c>
      <c r="E3">
        <v>1</v>
      </c>
      <c r="F3">
        <v>0</v>
      </c>
      <c r="G3">
        <v>24</v>
      </c>
      <c r="H3" s="1">
        <v>0</v>
      </c>
      <c r="I3">
        <v>72</v>
      </c>
      <c r="J3">
        <v>27</v>
      </c>
      <c r="K3">
        <v>45</v>
      </c>
      <c r="L3" s="1">
        <v>0.375</v>
      </c>
      <c r="M3">
        <v>19</v>
      </c>
      <c r="N3">
        <v>5</v>
      </c>
      <c r="O3" s="1">
        <v>79.1666666666666</v>
      </c>
      <c r="P3">
        <v>8</v>
      </c>
      <c r="Q3">
        <v>16</v>
      </c>
      <c r="R3" s="1">
        <v>33.3333333333333</v>
      </c>
      <c r="S3">
        <v>0</v>
      </c>
      <c r="T3">
        <v>24</v>
      </c>
      <c r="U3" s="1">
        <v>0</v>
      </c>
      <c r="V3">
        <v>0</v>
      </c>
      <c r="W3">
        <v>0</v>
      </c>
      <c r="X3" s="8">
        <v>0</v>
      </c>
    </row>
    <row r="4" spans="1:24" x14ac:dyDescent="0.2">
      <c r="A4" s="7">
        <v>5</v>
      </c>
      <c r="B4" t="s">
        <v>36</v>
      </c>
      <c r="C4" t="s">
        <v>29</v>
      </c>
      <c r="D4">
        <v>24</v>
      </c>
      <c r="E4">
        <v>5</v>
      </c>
      <c r="F4">
        <v>0</v>
      </c>
      <c r="G4">
        <v>24</v>
      </c>
      <c r="H4" s="1">
        <v>0</v>
      </c>
      <c r="I4">
        <v>72</v>
      </c>
      <c r="J4">
        <v>21</v>
      </c>
      <c r="K4">
        <v>51</v>
      </c>
      <c r="L4" s="1">
        <v>0.29166666666666602</v>
      </c>
      <c r="M4">
        <v>6</v>
      </c>
      <c r="N4">
        <v>18</v>
      </c>
      <c r="O4" s="1">
        <v>25</v>
      </c>
      <c r="P4">
        <v>15</v>
      </c>
      <c r="Q4">
        <v>9</v>
      </c>
      <c r="R4" s="1">
        <v>62.5</v>
      </c>
      <c r="S4">
        <v>0</v>
      </c>
      <c r="T4">
        <v>24</v>
      </c>
      <c r="U4" s="1">
        <v>0</v>
      </c>
      <c r="V4">
        <v>0</v>
      </c>
      <c r="W4">
        <v>0</v>
      </c>
      <c r="X4" s="8">
        <v>0</v>
      </c>
    </row>
    <row r="5" spans="1:24" ht="17" thickBot="1" x14ac:dyDescent="0.25">
      <c r="A5" s="9">
        <v>5</v>
      </c>
      <c r="B5" s="10" t="s">
        <v>35</v>
      </c>
      <c r="C5" s="10" t="s">
        <v>29</v>
      </c>
      <c r="D5" s="10">
        <v>24</v>
      </c>
      <c r="E5" s="10">
        <v>5</v>
      </c>
      <c r="F5" s="10">
        <v>0</v>
      </c>
      <c r="G5" s="10">
        <v>24</v>
      </c>
      <c r="H5" s="11">
        <v>0</v>
      </c>
      <c r="I5" s="10">
        <v>72</v>
      </c>
      <c r="J5" s="10">
        <v>36</v>
      </c>
      <c r="K5" s="10">
        <v>36</v>
      </c>
      <c r="L5" s="13">
        <v>0.5</v>
      </c>
      <c r="M5" s="10">
        <v>18</v>
      </c>
      <c r="N5" s="10">
        <v>6</v>
      </c>
      <c r="O5" s="11">
        <v>75</v>
      </c>
      <c r="P5" s="10">
        <v>18</v>
      </c>
      <c r="Q5" s="10">
        <v>6</v>
      </c>
      <c r="R5" s="13">
        <v>75</v>
      </c>
      <c r="S5" s="10">
        <v>0</v>
      </c>
      <c r="T5" s="10">
        <v>24</v>
      </c>
      <c r="U5" s="11">
        <v>0</v>
      </c>
      <c r="V5" s="10">
        <v>0</v>
      </c>
      <c r="W5" s="10">
        <v>0</v>
      </c>
      <c r="X5" s="12">
        <v>0</v>
      </c>
    </row>
    <row r="6" spans="1:24" x14ac:dyDescent="0.2">
      <c r="A6">
        <v>6</v>
      </c>
      <c r="B6" t="s">
        <v>33</v>
      </c>
      <c r="C6" t="s">
        <v>30</v>
      </c>
      <c r="D6">
        <v>8</v>
      </c>
      <c r="E6">
        <v>0</v>
      </c>
      <c r="F6">
        <v>4</v>
      </c>
      <c r="G6">
        <v>4</v>
      </c>
      <c r="H6" s="1">
        <v>50</v>
      </c>
      <c r="I6">
        <v>24</v>
      </c>
      <c r="J6">
        <v>20</v>
      </c>
      <c r="K6">
        <v>4</v>
      </c>
      <c r="L6" s="14">
        <v>0.83333333333333304</v>
      </c>
      <c r="M6">
        <v>8</v>
      </c>
      <c r="N6">
        <v>0</v>
      </c>
      <c r="O6" s="14">
        <v>100</v>
      </c>
      <c r="P6">
        <v>8</v>
      </c>
      <c r="Q6">
        <v>0</v>
      </c>
      <c r="R6" s="14">
        <v>100</v>
      </c>
      <c r="S6">
        <v>4</v>
      </c>
      <c r="T6">
        <v>4</v>
      </c>
      <c r="U6" s="14">
        <v>50</v>
      </c>
      <c r="V6">
        <v>0</v>
      </c>
      <c r="W6">
        <v>0</v>
      </c>
      <c r="X6" s="1">
        <v>0</v>
      </c>
    </row>
    <row r="7" spans="1:24" x14ac:dyDescent="0.2">
      <c r="A7">
        <v>6</v>
      </c>
      <c r="B7" t="s">
        <v>23</v>
      </c>
      <c r="C7" t="s">
        <v>30</v>
      </c>
      <c r="D7">
        <v>8</v>
      </c>
      <c r="E7">
        <v>0</v>
      </c>
      <c r="F7">
        <v>4</v>
      </c>
      <c r="G7">
        <v>4</v>
      </c>
      <c r="H7" s="1">
        <v>50</v>
      </c>
      <c r="I7">
        <v>24</v>
      </c>
      <c r="J7">
        <v>20</v>
      </c>
      <c r="K7">
        <v>4</v>
      </c>
      <c r="L7" s="14">
        <v>0.83333333333333304</v>
      </c>
      <c r="M7">
        <v>8</v>
      </c>
      <c r="N7">
        <v>0</v>
      </c>
      <c r="O7" s="14">
        <v>100</v>
      </c>
      <c r="P7">
        <v>8</v>
      </c>
      <c r="Q7">
        <v>0</v>
      </c>
      <c r="R7" s="14">
        <v>100</v>
      </c>
      <c r="S7">
        <v>4</v>
      </c>
      <c r="T7">
        <v>4</v>
      </c>
      <c r="U7" s="14">
        <v>50</v>
      </c>
      <c r="V7">
        <v>0</v>
      </c>
      <c r="W7">
        <v>0</v>
      </c>
      <c r="X7" s="1">
        <v>0</v>
      </c>
    </row>
    <row r="8" spans="1:24" x14ac:dyDescent="0.2">
      <c r="A8">
        <v>6</v>
      </c>
      <c r="B8" t="s">
        <v>36</v>
      </c>
      <c r="C8" t="s">
        <v>30</v>
      </c>
      <c r="D8">
        <v>8</v>
      </c>
      <c r="E8">
        <v>0</v>
      </c>
      <c r="F8">
        <v>0</v>
      </c>
      <c r="G8">
        <v>8</v>
      </c>
      <c r="H8" s="1">
        <v>0</v>
      </c>
      <c r="I8">
        <v>24</v>
      </c>
      <c r="J8">
        <v>14</v>
      </c>
      <c r="K8">
        <v>10</v>
      </c>
      <c r="L8" s="1">
        <v>0.58333333333333304</v>
      </c>
      <c r="M8">
        <v>4</v>
      </c>
      <c r="N8">
        <v>4</v>
      </c>
      <c r="O8" s="1">
        <v>50</v>
      </c>
      <c r="P8">
        <v>8</v>
      </c>
      <c r="Q8">
        <v>0</v>
      </c>
      <c r="R8" s="14">
        <v>100</v>
      </c>
      <c r="S8">
        <v>2</v>
      </c>
      <c r="T8">
        <v>6</v>
      </c>
      <c r="U8" s="1">
        <v>25</v>
      </c>
      <c r="V8">
        <v>0</v>
      </c>
      <c r="W8">
        <v>0</v>
      </c>
      <c r="X8" s="1">
        <v>0</v>
      </c>
    </row>
    <row r="9" spans="1:24" ht="17" thickBot="1" x14ac:dyDescent="0.25">
      <c r="A9">
        <v>6</v>
      </c>
      <c r="B9" t="s">
        <v>35</v>
      </c>
      <c r="C9" t="s">
        <v>30</v>
      </c>
      <c r="D9">
        <v>8</v>
      </c>
      <c r="E9">
        <v>0</v>
      </c>
      <c r="F9">
        <v>4</v>
      </c>
      <c r="G9">
        <v>4</v>
      </c>
      <c r="H9" s="1">
        <v>50</v>
      </c>
      <c r="I9">
        <v>24</v>
      </c>
      <c r="J9">
        <v>20</v>
      </c>
      <c r="K9">
        <v>4</v>
      </c>
      <c r="L9" s="14">
        <v>0.83333333333333304</v>
      </c>
      <c r="M9">
        <v>8</v>
      </c>
      <c r="N9">
        <v>0</v>
      </c>
      <c r="O9" s="14">
        <v>100</v>
      </c>
      <c r="P9">
        <v>8</v>
      </c>
      <c r="Q9">
        <v>0</v>
      </c>
      <c r="R9" s="14">
        <v>100</v>
      </c>
      <c r="S9">
        <v>4</v>
      </c>
      <c r="T9">
        <v>4</v>
      </c>
      <c r="U9" s="14">
        <v>50</v>
      </c>
      <c r="V9">
        <v>0</v>
      </c>
      <c r="W9">
        <v>0</v>
      </c>
      <c r="X9" s="1">
        <v>0</v>
      </c>
    </row>
    <row r="10" spans="1:24" x14ac:dyDescent="0.2">
      <c r="A10" s="3">
        <v>4</v>
      </c>
      <c r="B10" s="4" t="s">
        <v>33</v>
      </c>
      <c r="C10" s="4" t="s">
        <v>28</v>
      </c>
      <c r="D10" s="4">
        <v>34</v>
      </c>
      <c r="E10" s="4">
        <v>2</v>
      </c>
      <c r="F10" s="4">
        <v>0</v>
      </c>
      <c r="G10" s="4">
        <v>34</v>
      </c>
      <c r="H10" s="5">
        <v>0</v>
      </c>
      <c r="I10" s="4">
        <v>102</v>
      </c>
      <c r="J10" s="4">
        <v>11</v>
      </c>
      <c r="K10" s="4">
        <v>91</v>
      </c>
      <c r="L10" s="5">
        <v>0.10784313725490099</v>
      </c>
      <c r="M10" s="4">
        <v>10</v>
      </c>
      <c r="N10" s="4">
        <v>24</v>
      </c>
      <c r="O10" s="5">
        <v>29.411764705882302</v>
      </c>
      <c r="P10" s="4">
        <v>1</v>
      </c>
      <c r="Q10" s="4">
        <v>33</v>
      </c>
      <c r="R10" s="15">
        <v>2.9411764705882302</v>
      </c>
      <c r="S10" s="4">
        <v>0</v>
      </c>
      <c r="T10" s="4">
        <v>34</v>
      </c>
      <c r="U10" s="5">
        <v>0</v>
      </c>
      <c r="V10" s="4">
        <v>0</v>
      </c>
      <c r="W10" s="4">
        <v>0</v>
      </c>
      <c r="X10" s="6">
        <v>0</v>
      </c>
    </row>
    <row r="11" spans="1:24" x14ac:dyDescent="0.2">
      <c r="A11" s="7">
        <v>4</v>
      </c>
      <c r="B11" t="s">
        <v>23</v>
      </c>
      <c r="C11" t="s">
        <v>28</v>
      </c>
      <c r="D11">
        <v>34</v>
      </c>
      <c r="E11">
        <v>1</v>
      </c>
      <c r="F11">
        <v>0</v>
      </c>
      <c r="G11">
        <v>34</v>
      </c>
      <c r="H11" s="1">
        <v>0</v>
      </c>
      <c r="I11">
        <v>102</v>
      </c>
      <c r="J11">
        <v>11</v>
      </c>
      <c r="K11">
        <v>91</v>
      </c>
      <c r="L11" s="1">
        <v>0.10784313725490099</v>
      </c>
      <c r="M11">
        <v>10</v>
      </c>
      <c r="N11">
        <v>24</v>
      </c>
      <c r="O11" s="1">
        <v>29.411764705882302</v>
      </c>
      <c r="P11">
        <v>1</v>
      </c>
      <c r="Q11">
        <v>33</v>
      </c>
      <c r="R11" s="14">
        <v>2.9411764705882302</v>
      </c>
      <c r="S11">
        <v>0</v>
      </c>
      <c r="T11">
        <v>34</v>
      </c>
      <c r="U11" s="1">
        <v>0</v>
      </c>
      <c r="V11">
        <v>0</v>
      </c>
      <c r="W11">
        <v>0</v>
      </c>
      <c r="X11" s="8">
        <v>0</v>
      </c>
    </row>
    <row r="12" spans="1:24" x14ac:dyDescent="0.2">
      <c r="A12" s="7">
        <v>4</v>
      </c>
      <c r="B12" t="s">
        <v>36</v>
      </c>
      <c r="C12" t="s">
        <v>28</v>
      </c>
      <c r="D12">
        <v>34</v>
      </c>
      <c r="E12">
        <v>0</v>
      </c>
      <c r="F12">
        <v>0</v>
      </c>
      <c r="G12">
        <v>34</v>
      </c>
      <c r="H12" s="1">
        <v>0</v>
      </c>
      <c r="I12">
        <v>102</v>
      </c>
      <c r="J12">
        <v>13</v>
      </c>
      <c r="K12">
        <v>89</v>
      </c>
      <c r="L12" s="14">
        <v>0.12745098039215599</v>
      </c>
      <c r="M12">
        <v>12</v>
      </c>
      <c r="N12">
        <v>22</v>
      </c>
      <c r="O12" s="14">
        <v>35.294117647058798</v>
      </c>
      <c r="P12">
        <v>1</v>
      </c>
      <c r="Q12">
        <v>33</v>
      </c>
      <c r="R12" s="14">
        <v>2.9411764705882302</v>
      </c>
      <c r="S12">
        <v>0</v>
      </c>
      <c r="T12">
        <v>34</v>
      </c>
      <c r="U12" s="1">
        <v>0</v>
      </c>
      <c r="V12">
        <v>0</v>
      </c>
      <c r="W12">
        <v>0</v>
      </c>
      <c r="X12" s="8">
        <v>0</v>
      </c>
    </row>
    <row r="13" spans="1:24" ht="17" thickBot="1" x14ac:dyDescent="0.25">
      <c r="A13" s="9">
        <v>4</v>
      </c>
      <c r="B13" s="10" t="s">
        <v>35</v>
      </c>
      <c r="C13" s="10" t="s">
        <v>28</v>
      </c>
      <c r="D13" s="10">
        <v>34</v>
      </c>
      <c r="E13" s="10">
        <v>8</v>
      </c>
      <c r="F13" s="10">
        <v>0</v>
      </c>
      <c r="G13" s="10">
        <v>34</v>
      </c>
      <c r="H13" s="11">
        <v>0</v>
      </c>
      <c r="I13" s="10">
        <v>102</v>
      </c>
      <c r="J13" s="10">
        <v>10</v>
      </c>
      <c r="K13" s="10">
        <v>92</v>
      </c>
      <c r="L13" s="11">
        <v>9.8039215686273995E-2</v>
      </c>
      <c r="M13" s="10">
        <v>10</v>
      </c>
      <c r="N13" s="10">
        <v>24</v>
      </c>
      <c r="O13" s="11">
        <v>29.411764705882302</v>
      </c>
      <c r="P13" s="10">
        <v>0</v>
      </c>
      <c r="Q13" s="10">
        <v>34</v>
      </c>
      <c r="R13" s="11">
        <v>0</v>
      </c>
      <c r="S13" s="10">
        <v>0</v>
      </c>
      <c r="T13" s="10">
        <v>34</v>
      </c>
      <c r="U13" s="11">
        <v>0</v>
      </c>
      <c r="V13" s="10">
        <v>0</v>
      </c>
      <c r="W13" s="10">
        <v>0</v>
      </c>
      <c r="X13" s="12">
        <v>0</v>
      </c>
    </row>
    <row r="14" spans="1:24" x14ac:dyDescent="0.2">
      <c r="A14">
        <v>7</v>
      </c>
      <c r="B14" t="s">
        <v>33</v>
      </c>
      <c r="C14" t="s">
        <v>31</v>
      </c>
      <c r="D14">
        <v>13</v>
      </c>
      <c r="E14">
        <v>0</v>
      </c>
      <c r="F14">
        <v>13</v>
      </c>
      <c r="G14">
        <v>0</v>
      </c>
      <c r="H14" s="1">
        <v>100</v>
      </c>
      <c r="I14">
        <v>39</v>
      </c>
      <c r="J14">
        <v>39</v>
      </c>
      <c r="K14">
        <v>0</v>
      </c>
      <c r="L14" s="14">
        <v>1</v>
      </c>
      <c r="M14">
        <v>13</v>
      </c>
      <c r="N14">
        <v>0</v>
      </c>
      <c r="O14" s="14">
        <v>100</v>
      </c>
      <c r="P14">
        <v>13</v>
      </c>
      <c r="Q14">
        <v>0</v>
      </c>
      <c r="R14" s="14">
        <v>100</v>
      </c>
      <c r="S14">
        <v>13</v>
      </c>
      <c r="T14">
        <v>0</v>
      </c>
      <c r="U14" s="14">
        <v>100</v>
      </c>
      <c r="V14">
        <v>0</v>
      </c>
      <c r="W14">
        <v>0</v>
      </c>
      <c r="X14" s="1">
        <v>0</v>
      </c>
    </row>
    <row r="15" spans="1:24" x14ac:dyDescent="0.2">
      <c r="A15">
        <v>7</v>
      </c>
      <c r="B15" t="s">
        <v>23</v>
      </c>
      <c r="C15" t="s">
        <v>31</v>
      </c>
      <c r="D15">
        <v>13</v>
      </c>
      <c r="E15">
        <v>0</v>
      </c>
      <c r="F15">
        <v>0</v>
      </c>
      <c r="G15">
        <v>13</v>
      </c>
      <c r="H15" s="1">
        <v>0</v>
      </c>
      <c r="I15">
        <v>39</v>
      </c>
      <c r="J15">
        <v>23</v>
      </c>
      <c r="K15">
        <v>16</v>
      </c>
      <c r="L15" s="1">
        <v>0.58974358974358898</v>
      </c>
      <c r="M15">
        <v>13</v>
      </c>
      <c r="N15">
        <v>0</v>
      </c>
      <c r="O15" s="14">
        <v>100</v>
      </c>
      <c r="P15">
        <v>10</v>
      </c>
      <c r="Q15">
        <v>3</v>
      </c>
      <c r="R15" s="1">
        <v>76.923076923076906</v>
      </c>
      <c r="S15">
        <v>0</v>
      </c>
      <c r="T15">
        <v>13</v>
      </c>
      <c r="U15" s="1">
        <v>0</v>
      </c>
      <c r="V15">
        <v>0</v>
      </c>
      <c r="W15">
        <v>0</v>
      </c>
      <c r="X15" s="1">
        <v>0</v>
      </c>
    </row>
    <row r="16" spans="1:24" x14ac:dyDescent="0.2">
      <c r="A16">
        <v>7</v>
      </c>
      <c r="B16" t="s">
        <v>36</v>
      </c>
      <c r="C16" t="s">
        <v>31</v>
      </c>
      <c r="D16">
        <v>13</v>
      </c>
      <c r="E16">
        <v>0</v>
      </c>
      <c r="F16">
        <v>0</v>
      </c>
      <c r="G16">
        <v>13</v>
      </c>
      <c r="H16" s="1">
        <v>0</v>
      </c>
      <c r="I16">
        <v>39</v>
      </c>
      <c r="J16">
        <v>9</v>
      </c>
      <c r="K16">
        <v>30</v>
      </c>
      <c r="L16" s="1">
        <v>0.23076923076923</v>
      </c>
      <c r="M16">
        <v>9</v>
      </c>
      <c r="N16">
        <v>4</v>
      </c>
      <c r="O16" s="1">
        <v>69.230769230769198</v>
      </c>
      <c r="P16">
        <v>0</v>
      </c>
      <c r="Q16">
        <v>13</v>
      </c>
      <c r="R16" s="1">
        <v>0</v>
      </c>
      <c r="S16">
        <v>0</v>
      </c>
      <c r="T16">
        <v>13</v>
      </c>
      <c r="U16" s="1">
        <v>0</v>
      </c>
      <c r="V16">
        <v>0</v>
      </c>
      <c r="W16">
        <v>0</v>
      </c>
      <c r="X16" s="1">
        <v>0</v>
      </c>
    </row>
    <row r="17" spans="1:24" ht="17" thickBot="1" x14ac:dyDescent="0.25">
      <c r="A17">
        <v>7</v>
      </c>
      <c r="B17" t="s">
        <v>35</v>
      </c>
      <c r="C17" t="s">
        <v>31</v>
      </c>
      <c r="D17">
        <v>13</v>
      </c>
      <c r="E17">
        <v>0</v>
      </c>
      <c r="F17">
        <v>0</v>
      </c>
      <c r="G17">
        <v>13</v>
      </c>
      <c r="H17" s="1">
        <v>0</v>
      </c>
      <c r="I17">
        <v>39</v>
      </c>
      <c r="J17">
        <v>16</v>
      </c>
      <c r="K17">
        <v>23</v>
      </c>
      <c r="L17" s="1">
        <v>0.41025641025641002</v>
      </c>
      <c r="M17">
        <v>13</v>
      </c>
      <c r="N17">
        <v>0</v>
      </c>
      <c r="O17" s="14">
        <v>100</v>
      </c>
      <c r="P17">
        <v>0</v>
      </c>
      <c r="Q17">
        <v>13</v>
      </c>
      <c r="R17" s="1">
        <v>0</v>
      </c>
      <c r="S17">
        <v>3</v>
      </c>
      <c r="T17">
        <v>10</v>
      </c>
      <c r="U17" s="1">
        <v>23.076923076922998</v>
      </c>
      <c r="V17">
        <v>0</v>
      </c>
      <c r="W17">
        <v>0</v>
      </c>
      <c r="X17" s="1">
        <v>0</v>
      </c>
    </row>
    <row r="18" spans="1:24" x14ac:dyDescent="0.2">
      <c r="A18" s="3">
        <v>3</v>
      </c>
      <c r="B18" s="4" t="s">
        <v>33</v>
      </c>
      <c r="C18" s="4" t="s">
        <v>27</v>
      </c>
      <c r="D18" s="4">
        <v>28</v>
      </c>
      <c r="E18" s="4">
        <v>0</v>
      </c>
      <c r="F18" s="4">
        <v>9</v>
      </c>
      <c r="G18" s="4">
        <v>19</v>
      </c>
      <c r="H18" s="5">
        <v>32.142857142857103</v>
      </c>
      <c r="I18" s="4">
        <v>84</v>
      </c>
      <c r="J18" s="4">
        <v>38</v>
      </c>
      <c r="K18" s="4">
        <v>46</v>
      </c>
      <c r="L18" s="5">
        <v>0.452380952380952</v>
      </c>
      <c r="M18" s="4">
        <v>16</v>
      </c>
      <c r="N18" s="4">
        <v>12</v>
      </c>
      <c r="O18" s="5">
        <v>57.142857142857103</v>
      </c>
      <c r="P18" s="4">
        <v>13</v>
      </c>
      <c r="Q18" s="4">
        <v>15</v>
      </c>
      <c r="R18" s="5">
        <v>46.428571428571402</v>
      </c>
      <c r="S18" s="4">
        <v>9</v>
      </c>
      <c r="T18" s="4">
        <v>19</v>
      </c>
      <c r="U18" s="5">
        <v>32.142857142857103</v>
      </c>
      <c r="V18" s="4">
        <v>44</v>
      </c>
      <c r="W18" s="4">
        <v>22</v>
      </c>
      <c r="X18" s="16">
        <v>66.6666666666666</v>
      </c>
    </row>
    <row r="19" spans="1:24" x14ac:dyDescent="0.2">
      <c r="A19" s="7">
        <v>3</v>
      </c>
      <c r="B19" t="s">
        <v>23</v>
      </c>
      <c r="C19" t="s">
        <v>27</v>
      </c>
      <c r="D19">
        <v>28</v>
      </c>
      <c r="E19">
        <v>4</v>
      </c>
      <c r="F19">
        <v>10</v>
      </c>
      <c r="G19">
        <v>18</v>
      </c>
      <c r="H19" s="1">
        <v>35.714285714285701</v>
      </c>
      <c r="I19">
        <v>84</v>
      </c>
      <c r="J19">
        <v>49</v>
      </c>
      <c r="K19">
        <v>35</v>
      </c>
      <c r="L19" s="14">
        <v>0.58333333333333304</v>
      </c>
      <c r="M19">
        <v>17</v>
      </c>
      <c r="N19">
        <v>11</v>
      </c>
      <c r="O19" s="14">
        <v>60.714285714285701</v>
      </c>
      <c r="P19">
        <v>22</v>
      </c>
      <c r="Q19">
        <v>6</v>
      </c>
      <c r="R19" s="14">
        <v>78.571428571428498</v>
      </c>
      <c r="S19">
        <v>10</v>
      </c>
      <c r="T19">
        <v>18</v>
      </c>
      <c r="U19" s="1">
        <v>35.714285714285701</v>
      </c>
      <c r="V19">
        <v>28</v>
      </c>
      <c r="W19">
        <v>26</v>
      </c>
      <c r="X19" s="8">
        <v>51.851851851851798</v>
      </c>
    </row>
    <row r="20" spans="1:24" x14ac:dyDescent="0.2">
      <c r="A20" s="7">
        <v>3</v>
      </c>
      <c r="B20" t="s">
        <v>36</v>
      </c>
      <c r="C20" t="s">
        <v>27</v>
      </c>
      <c r="D20">
        <v>28</v>
      </c>
      <c r="E20">
        <v>19</v>
      </c>
      <c r="F20">
        <v>0</v>
      </c>
      <c r="G20">
        <v>28</v>
      </c>
      <c r="H20" s="1">
        <v>0</v>
      </c>
      <c r="I20">
        <v>84</v>
      </c>
      <c r="J20">
        <v>13</v>
      </c>
      <c r="K20">
        <v>71</v>
      </c>
      <c r="L20" s="1">
        <v>0.15476190476190399</v>
      </c>
      <c r="M20">
        <v>8</v>
      </c>
      <c r="N20">
        <v>20</v>
      </c>
      <c r="O20" s="1">
        <v>28.571428571428498</v>
      </c>
      <c r="P20">
        <v>5</v>
      </c>
      <c r="Q20">
        <v>23</v>
      </c>
      <c r="R20" s="1">
        <v>17.857142857142801</v>
      </c>
      <c r="S20">
        <v>0</v>
      </c>
      <c r="T20">
        <v>28</v>
      </c>
      <c r="U20" s="1">
        <v>0</v>
      </c>
      <c r="V20">
        <v>0</v>
      </c>
      <c r="W20">
        <v>15</v>
      </c>
      <c r="X20" s="8">
        <v>0</v>
      </c>
    </row>
    <row r="21" spans="1:24" ht="17" thickBot="1" x14ac:dyDescent="0.25">
      <c r="A21" s="9">
        <v>3</v>
      </c>
      <c r="B21" s="10" t="s">
        <v>35</v>
      </c>
      <c r="C21" s="10" t="s">
        <v>27</v>
      </c>
      <c r="D21" s="10">
        <v>28</v>
      </c>
      <c r="E21" s="10">
        <v>13</v>
      </c>
      <c r="F21" s="10">
        <v>10</v>
      </c>
      <c r="G21" s="10">
        <v>18</v>
      </c>
      <c r="H21" s="11">
        <v>35.714285714285701</v>
      </c>
      <c r="I21" s="10">
        <v>84</v>
      </c>
      <c r="J21" s="10">
        <v>38</v>
      </c>
      <c r="K21" s="10">
        <v>46</v>
      </c>
      <c r="L21" s="11">
        <v>0.452380952380952</v>
      </c>
      <c r="M21" s="10">
        <v>15</v>
      </c>
      <c r="N21" s="10">
        <v>13</v>
      </c>
      <c r="O21" s="11">
        <v>53.571428571428498</v>
      </c>
      <c r="P21" s="10">
        <v>11</v>
      </c>
      <c r="Q21" s="10">
        <v>17</v>
      </c>
      <c r="R21" s="11">
        <v>39.285714285714199</v>
      </c>
      <c r="S21" s="10">
        <v>12</v>
      </c>
      <c r="T21" s="10">
        <v>16</v>
      </c>
      <c r="U21" s="13">
        <v>42.857142857142797</v>
      </c>
      <c r="V21" s="10">
        <v>0</v>
      </c>
      <c r="W21" s="10">
        <v>36</v>
      </c>
      <c r="X21" s="12">
        <v>0</v>
      </c>
    </row>
    <row r="22" spans="1:24" x14ac:dyDescent="0.2">
      <c r="A22">
        <v>8</v>
      </c>
      <c r="B22" t="s">
        <v>33</v>
      </c>
      <c r="C22" t="s">
        <v>32</v>
      </c>
      <c r="D22">
        <v>7</v>
      </c>
      <c r="E22">
        <v>0</v>
      </c>
      <c r="F22">
        <v>5</v>
      </c>
      <c r="G22">
        <v>2</v>
      </c>
      <c r="H22" s="1">
        <v>71.428571428571402</v>
      </c>
      <c r="I22">
        <v>21</v>
      </c>
      <c r="J22">
        <v>18</v>
      </c>
      <c r="K22">
        <v>3</v>
      </c>
      <c r="L22" s="14">
        <v>0.85714285714285698</v>
      </c>
      <c r="M22">
        <v>7</v>
      </c>
      <c r="N22">
        <v>0</v>
      </c>
      <c r="O22" s="14">
        <v>100</v>
      </c>
      <c r="P22">
        <v>6</v>
      </c>
      <c r="Q22">
        <v>1</v>
      </c>
      <c r="R22" s="14">
        <v>85.714285714285694</v>
      </c>
      <c r="S22">
        <v>5</v>
      </c>
      <c r="T22">
        <v>2</v>
      </c>
      <c r="U22" s="14">
        <v>71.428571428571402</v>
      </c>
      <c r="V22">
        <v>0</v>
      </c>
      <c r="W22">
        <v>0</v>
      </c>
      <c r="X22" s="1">
        <v>0</v>
      </c>
    </row>
    <row r="23" spans="1:24" x14ac:dyDescent="0.2">
      <c r="A23">
        <v>8</v>
      </c>
      <c r="B23" t="s">
        <v>23</v>
      </c>
      <c r="C23" t="s">
        <v>32</v>
      </c>
      <c r="D23">
        <v>7</v>
      </c>
      <c r="E23">
        <v>0</v>
      </c>
      <c r="F23">
        <v>4</v>
      </c>
      <c r="G23">
        <v>3</v>
      </c>
      <c r="H23" s="1">
        <v>57.142857142857103</v>
      </c>
      <c r="I23">
        <v>21</v>
      </c>
      <c r="J23">
        <v>15</v>
      </c>
      <c r="K23">
        <v>6</v>
      </c>
      <c r="L23" s="1">
        <v>0.71428571428571397</v>
      </c>
      <c r="M23">
        <v>7</v>
      </c>
      <c r="N23">
        <v>0</v>
      </c>
      <c r="O23" s="14">
        <v>100</v>
      </c>
      <c r="P23">
        <v>4</v>
      </c>
      <c r="Q23">
        <v>3</v>
      </c>
      <c r="R23" s="1">
        <v>57.142857142857103</v>
      </c>
      <c r="S23">
        <v>4</v>
      </c>
      <c r="T23">
        <v>3</v>
      </c>
      <c r="U23" s="1">
        <v>57.142857142857103</v>
      </c>
      <c r="V23">
        <v>0</v>
      </c>
      <c r="W23">
        <v>0</v>
      </c>
      <c r="X23" s="1">
        <v>0</v>
      </c>
    </row>
    <row r="24" spans="1:24" x14ac:dyDescent="0.2">
      <c r="A24">
        <v>8</v>
      </c>
      <c r="B24" t="s">
        <v>36</v>
      </c>
      <c r="C24" t="s">
        <v>32</v>
      </c>
      <c r="D24">
        <v>7</v>
      </c>
      <c r="E24">
        <v>0</v>
      </c>
      <c r="F24">
        <v>0</v>
      </c>
      <c r="G24">
        <v>7</v>
      </c>
      <c r="H24" s="1">
        <v>0</v>
      </c>
      <c r="I24">
        <v>21</v>
      </c>
      <c r="J24">
        <v>9</v>
      </c>
      <c r="K24">
        <v>12</v>
      </c>
      <c r="L24" s="1">
        <v>0.42857142857142799</v>
      </c>
      <c r="M24">
        <v>3</v>
      </c>
      <c r="N24">
        <v>4</v>
      </c>
      <c r="O24" s="1">
        <v>42.857142857142797</v>
      </c>
      <c r="P24">
        <v>6</v>
      </c>
      <c r="Q24">
        <v>1</v>
      </c>
      <c r="R24" s="14">
        <v>85.714285714285694</v>
      </c>
      <c r="S24">
        <v>0</v>
      </c>
      <c r="T24">
        <v>7</v>
      </c>
      <c r="U24" s="1">
        <v>0</v>
      </c>
      <c r="V24">
        <v>0</v>
      </c>
      <c r="W24">
        <v>0</v>
      </c>
      <c r="X24" s="1">
        <v>0</v>
      </c>
    </row>
    <row r="25" spans="1:24" ht="17" thickBot="1" x14ac:dyDescent="0.25">
      <c r="A25">
        <v>8</v>
      </c>
      <c r="B25" t="s">
        <v>35</v>
      </c>
      <c r="C25" t="s">
        <v>32</v>
      </c>
      <c r="D25">
        <v>7</v>
      </c>
      <c r="E25">
        <v>0</v>
      </c>
      <c r="F25">
        <v>2</v>
      </c>
      <c r="G25">
        <v>5</v>
      </c>
      <c r="H25" s="1">
        <v>28.571428571428498</v>
      </c>
      <c r="I25">
        <v>21</v>
      </c>
      <c r="J25">
        <v>15</v>
      </c>
      <c r="K25">
        <v>6</v>
      </c>
      <c r="L25" s="1">
        <v>0.71428571428571397</v>
      </c>
      <c r="M25">
        <v>7</v>
      </c>
      <c r="N25">
        <v>0</v>
      </c>
      <c r="O25" s="14">
        <v>100</v>
      </c>
      <c r="P25">
        <v>6</v>
      </c>
      <c r="Q25">
        <v>1</v>
      </c>
      <c r="R25" s="14">
        <v>85.714285714285694</v>
      </c>
      <c r="S25">
        <v>2</v>
      </c>
      <c r="T25">
        <v>5</v>
      </c>
      <c r="U25" s="1">
        <v>28.571428571428498</v>
      </c>
      <c r="V25">
        <v>0</v>
      </c>
      <c r="W25">
        <v>0</v>
      </c>
      <c r="X25" s="1">
        <v>0</v>
      </c>
    </row>
    <row r="26" spans="1:24" x14ac:dyDescent="0.2">
      <c r="A26" s="3">
        <v>0</v>
      </c>
      <c r="B26" s="4" t="s">
        <v>34</v>
      </c>
      <c r="C26" s="4" t="s">
        <v>24</v>
      </c>
      <c r="D26" s="4">
        <v>88</v>
      </c>
      <c r="E26" s="4">
        <v>2</v>
      </c>
      <c r="F26" s="4">
        <v>45</v>
      </c>
      <c r="G26" s="4">
        <v>43</v>
      </c>
      <c r="H26" s="5">
        <v>51.136363636363598</v>
      </c>
      <c r="I26" s="4">
        <v>264</v>
      </c>
      <c r="J26" s="4">
        <v>177</v>
      </c>
      <c r="K26" s="4">
        <v>87</v>
      </c>
      <c r="L26" s="5">
        <v>0.67045454545454497</v>
      </c>
      <c r="M26" s="4">
        <v>68</v>
      </c>
      <c r="N26" s="4">
        <v>20</v>
      </c>
      <c r="O26" s="15">
        <v>77.272727272727195</v>
      </c>
      <c r="P26" s="4">
        <v>60</v>
      </c>
      <c r="Q26" s="4">
        <v>28</v>
      </c>
      <c r="R26" s="5">
        <v>68.181818181818102</v>
      </c>
      <c r="S26" s="4">
        <v>49</v>
      </c>
      <c r="T26" s="4">
        <v>39</v>
      </c>
      <c r="U26" s="15">
        <v>55.681818181818102</v>
      </c>
      <c r="V26" s="4">
        <v>0</v>
      </c>
      <c r="W26" s="4">
        <v>0</v>
      </c>
      <c r="X26" s="6">
        <v>0</v>
      </c>
    </row>
    <row r="27" spans="1:24" x14ac:dyDescent="0.2">
      <c r="A27" s="7">
        <v>0</v>
      </c>
      <c r="B27" t="s">
        <v>23</v>
      </c>
      <c r="C27" t="s">
        <v>24</v>
      </c>
      <c r="D27">
        <v>88</v>
      </c>
      <c r="E27">
        <v>5</v>
      </c>
      <c r="F27">
        <v>40</v>
      </c>
      <c r="G27">
        <v>48</v>
      </c>
      <c r="H27" s="1">
        <v>45.454545454545404</v>
      </c>
      <c r="I27">
        <v>264</v>
      </c>
      <c r="J27">
        <v>183</v>
      </c>
      <c r="K27">
        <v>81</v>
      </c>
      <c r="L27" s="14">
        <v>0.69318181818181801</v>
      </c>
      <c r="M27">
        <v>67</v>
      </c>
      <c r="N27">
        <v>21</v>
      </c>
      <c r="O27" s="1">
        <v>76.136363636363598</v>
      </c>
      <c r="P27">
        <v>72</v>
      </c>
      <c r="Q27">
        <v>16</v>
      </c>
      <c r="R27" s="14">
        <v>81.818181818181799</v>
      </c>
      <c r="S27">
        <v>44</v>
      </c>
      <c r="T27">
        <v>44</v>
      </c>
      <c r="U27" s="1">
        <v>50</v>
      </c>
      <c r="V27">
        <v>0</v>
      </c>
      <c r="W27">
        <v>0</v>
      </c>
      <c r="X27" s="8">
        <v>0</v>
      </c>
    </row>
    <row r="28" spans="1:24" x14ac:dyDescent="0.2">
      <c r="A28" s="7">
        <v>0</v>
      </c>
      <c r="B28" t="s">
        <v>36</v>
      </c>
      <c r="C28" t="s">
        <v>24</v>
      </c>
      <c r="D28">
        <v>88</v>
      </c>
      <c r="E28">
        <v>17</v>
      </c>
      <c r="F28">
        <v>0</v>
      </c>
      <c r="G28">
        <v>88</v>
      </c>
      <c r="H28" s="1">
        <v>0</v>
      </c>
      <c r="I28">
        <v>264</v>
      </c>
      <c r="J28">
        <v>73</v>
      </c>
      <c r="K28">
        <v>191</v>
      </c>
      <c r="L28" s="1">
        <v>0.27651515151515099</v>
      </c>
      <c r="M28">
        <v>42</v>
      </c>
      <c r="N28">
        <v>46</v>
      </c>
      <c r="O28" s="1">
        <v>47.727272727272698</v>
      </c>
      <c r="P28">
        <v>24</v>
      </c>
      <c r="Q28">
        <v>64</v>
      </c>
      <c r="R28" s="1">
        <v>27.272727272727199</v>
      </c>
      <c r="S28">
        <v>7</v>
      </c>
      <c r="T28">
        <v>81</v>
      </c>
      <c r="U28" s="1">
        <v>7.9545454545454497</v>
      </c>
      <c r="V28">
        <v>0</v>
      </c>
      <c r="W28">
        <v>0</v>
      </c>
      <c r="X28" s="8">
        <v>0</v>
      </c>
    </row>
    <row r="29" spans="1:24" ht="17" thickBot="1" x14ac:dyDescent="0.25">
      <c r="A29" s="9">
        <v>0</v>
      </c>
      <c r="B29" s="10" t="s">
        <v>35</v>
      </c>
      <c r="C29" s="10" t="s">
        <v>24</v>
      </c>
      <c r="D29" s="10">
        <v>88</v>
      </c>
      <c r="E29" s="10">
        <v>40</v>
      </c>
      <c r="F29" s="10">
        <v>10</v>
      </c>
      <c r="G29" s="10">
        <v>78</v>
      </c>
      <c r="H29" s="11">
        <v>11.363636363636299</v>
      </c>
      <c r="I29" s="10">
        <v>264</v>
      </c>
      <c r="J29" s="10">
        <v>92</v>
      </c>
      <c r="K29" s="10">
        <v>172</v>
      </c>
      <c r="L29" s="11">
        <v>0.34848484848484801</v>
      </c>
      <c r="M29" s="10">
        <v>37</v>
      </c>
      <c r="N29" s="10">
        <v>51</v>
      </c>
      <c r="O29" s="11">
        <v>42.045454545454497</v>
      </c>
      <c r="P29" s="10">
        <v>21</v>
      </c>
      <c r="Q29" s="10">
        <v>67</v>
      </c>
      <c r="R29" s="11">
        <v>23.863636363636299</v>
      </c>
      <c r="S29" s="10">
        <v>34</v>
      </c>
      <c r="T29" s="10">
        <v>54</v>
      </c>
      <c r="U29" s="11">
        <v>38.636363636363598</v>
      </c>
      <c r="V29" s="10">
        <v>0</v>
      </c>
      <c r="W29" s="10">
        <v>0</v>
      </c>
      <c r="X29" s="12">
        <v>0</v>
      </c>
    </row>
    <row r="30" spans="1:24" x14ac:dyDescent="0.2">
      <c r="A30">
        <v>1</v>
      </c>
      <c r="B30" t="s">
        <v>33</v>
      </c>
      <c r="C30" t="s">
        <v>25</v>
      </c>
      <c r="D30">
        <v>63</v>
      </c>
      <c r="E30">
        <v>0</v>
      </c>
      <c r="F30">
        <v>29</v>
      </c>
      <c r="G30">
        <v>34</v>
      </c>
      <c r="H30" s="1">
        <v>46.031746031746003</v>
      </c>
      <c r="I30">
        <v>189</v>
      </c>
      <c r="J30">
        <v>138</v>
      </c>
      <c r="K30">
        <v>51</v>
      </c>
      <c r="L30" s="14">
        <v>0.73015873015873001</v>
      </c>
      <c r="M30">
        <v>55</v>
      </c>
      <c r="N30">
        <v>8</v>
      </c>
      <c r="O30" s="14">
        <v>87.301587301587304</v>
      </c>
      <c r="P30">
        <v>50</v>
      </c>
      <c r="Q30">
        <v>13</v>
      </c>
      <c r="R30" s="14">
        <v>79.365079365079296</v>
      </c>
      <c r="S30">
        <v>33</v>
      </c>
      <c r="T30">
        <v>30</v>
      </c>
      <c r="U30" s="14">
        <v>52.380952380952301</v>
      </c>
      <c r="V30">
        <v>0</v>
      </c>
      <c r="W30">
        <v>0</v>
      </c>
      <c r="X30" s="1">
        <v>0</v>
      </c>
    </row>
    <row r="31" spans="1:24" x14ac:dyDescent="0.2">
      <c r="A31">
        <v>1</v>
      </c>
      <c r="B31" t="s">
        <v>23</v>
      </c>
      <c r="C31" t="s">
        <v>25</v>
      </c>
      <c r="D31">
        <v>63</v>
      </c>
      <c r="E31">
        <v>8</v>
      </c>
      <c r="F31">
        <v>24</v>
      </c>
      <c r="G31">
        <v>39</v>
      </c>
      <c r="H31" s="1">
        <v>38.095238095238003</v>
      </c>
      <c r="I31">
        <v>189</v>
      </c>
      <c r="J31">
        <v>116</v>
      </c>
      <c r="K31">
        <v>73</v>
      </c>
      <c r="L31" s="1">
        <v>0.61375661375661295</v>
      </c>
      <c r="M31">
        <v>41</v>
      </c>
      <c r="N31">
        <v>22</v>
      </c>
      <c r="O31" s="1">
        <v>65.079365079365004</v>
      </c>
      <c r="P31">
        <v>44</v>
      </c>
      <c r="Q31">
        <v>19</v>
      </c>
      <c r="R31" s="1">
        <v>69.841269841269806</v>
      </c>
      <c r="S31">
        <v>31</v>
      </c>
      <c r="T31">
        <v>32</v>
      </c>
      <c r="U31" s="1">
        <v>49.206349206349202</v>
      </c>
      <c r="V31">
        <v>0</v>
      </c>
      <c r="W31">
        <v>0</v>
      </c>
      <c r="X31" s="1">
        <v>0</v>
      </c>
    </row>
    <row r="32" spans="1:24" x14ac:dyDescent="0.2">
      <c r="A32">
        <v>1</v>
      </c>
      <c r="B32" t="s">
        <v>36</v>
      </c>
      <c r="C32" t="s">
        <v>25</v>
      </c>
      <c r="D32">
        <v>63</v>
      </c>
      <c r="E32">
        <v>15</v>
      </c>
      <c r="F32">
        <v>0</v>
      </c>
      <c r="G32">
        <v>63</v>
      </c>
      <c r="H32" s="1">
        <v>0</v>
      </c>
      <c r="I32">
        <v>189</v>
      </c>
      <c r="J32">
        <v>50</v>
      </c>
      <c r="K32">
        <v>139</v>
      </c>
      <c r="L32" s="1">
        <v>0.26455026455026398</v>
      </c>
      <c r="M32">
        <v>36</v>
      </c>
      <c r="N32">
        <v>27</v>
      </c>
      <c r="O32" s="1">
        <v>57.142857142857103</v>
      </c>
      <c r="P32">
        <v>14</v>
      </c>
      <c r="Q32">
        <v>49</v>
      </c>
      <c r="R32" s="1">
        <v>22.2222222222222</v>
      </c>
      <c r="S32">
        <v>0</v>
      </c>
      <c r="T32">
        <v>63</v>
      </c>
      <c r="U32" s="1">
        <v>0</v>
      </c>
      <c r="V32">
        <v>0</v>
      </c>
      <c r="W32">
        <v>0</v>
      </c>
      <c r="X32" s="1">
        <v>0</v>
      </c>
    </row>
    <row r="33" spans="1:24" ht="17" thickBot="1" x14ac:dyDescent="0.25">
      <c r="A33">
        <v>1</v>
      </c>
      <c r="B33" t="s">
        <v>35</v>
      </c>
      <c r="C33" t="s">
        <v>25</v>
      </c>
      <c r="D33">
        <v>63</v>
      </c>
      <c r="E33">
        <v>24</v>
      </c>
      <c r="F33">
        <v>10</v>
      </c>
      <c r="G33">
        <v>53</v>
      </c>
      <c r="H33" s="1">
        <v>15.873015873015801</v>
      </c>
      <c r="I33">
        <v>189</v>
      </c>
      <c r="J33">
        <v>79</v>
      </c>
      <c r="K33">
        <v>110</v>
      </c>
      <c r="L33" s="1">
        <v>0.41798941798941702</v>
      </c>
      <c r="M33">
        <v>35</v>
      </c>
      <c r="N33">
        <v>28</v>
      </c>
      <c r="O33" s="1">
        <v>55.5555555555555</v>
      </c>
      <c r="P33">
        <v>16</v>
      </c>
      <c r="Q33">
        <v>47</v>
      </c>
      <c r="R33" s="1">
        <v>25.396825396825299</v>
      </c>
      <c r="S33">
        <v>28</v>
      </c>
      <c r="T33">
        <v>35</v>
      </c>
      <c r="U33" s="1">
        <v>44.4444444444444</v>
      </c>
      <c r="V33">
        <v>0</v>
      </c>
      <c r="W33">
        <v>0</v>
      </c>
      <c r="X33" s="1">
        <v>0</v>
      </c>
    </row>
    <row r="34" spans="1:24" x14ac:dyDescent="0.2">
      <c r="A34" s="3">
        <v>2</v>
      </c>
      <c r="B34" s="4" t="s">
        <v>33</v>
      </c>
      <c r="C34" s="4" t="s">
        <v>26</v>
      </c>
      <c r="D34" s="4">
        <v>66</v>
      </c>
      <c r="E34" s="4">
        <v>2</v>
      </c>
      <c r="F34" s="4">
        <v>21</v>
      </c>
      <c r="G34" s="4">
        <v>45</v>
      </c>
      <c r="H34" s="5">
        <v>31.818181818181799</v>
      </c>
      <c r="I34" s="4">
        <v>198</v>
      </c>
      <c r="J34" s="4">
        <v>117</v>
      </c>
      <c r="K34" s="4">
        <v>81</v>
      </c>
      <c r="L34" s="15">
        <v>0.59090909090909005</v>
      </c>
      <c r="M34" s="4">
        <v>38</v>
      </c>
      <c r="N34" s="4">
        <v>28</v>
      </c>
      <c r="O34" s="15">
        <v>57.5757575757575</v>
      </c>
      <c r="P34" s="4">
        <v>58</v>
      </c>
      <c r="Q34" s="4">
        <v>8</v>
      </c>
      <c r="R34" s="15">
        <v>87.878787878787804</v>
      </c>
      <c r="S34" s="4">
        <v>21</v>
      </c>
      <c r="T34" s="4">
        <v>45</v>
      </c>
      <c r="U34" s="15">
        <v>31.818181818181799</v>
      </c>
      <c r="V34" s="4">
        <v>0</v>
      </c>
      <c r="W34" s="4">
        <v>0</v>
      </c>
      <c r="X34" s="6">
        <v>0</v>
      </c>
    </row>
    <row r="35" spans="1:24" x14ac:dyDescent="0.2">
      <c r="A35" s="7">
        <v>2</v>
      </c>
      <c r="B35" t="s">
        <v>23</v>
      </c>
      <c r="C35" t="s">
        <v>26</v>
      </c>
      <c r="D35">
        <v>66</v>
      </c>
      <c r="E35">
        <v>19</v>
      </c>
      <c r="F35">
        <v>11</v>
      </c>
      <c r="G35">
        <v>55</v>
      </c>
      <c r="H35" s="1">
        <v>16.6666666666666</v>
      </c>
      <c r="I35">
        <v>198</v>
      </c>
      <c r="J35">
        <v>75</v>
      </c>
      <c r="K35">
        <v>123</v>
      </c>
      <c r="L35" s="1">
        <v>0.37878787878787801</v>
      </c>
      <c r="M35">
        <v>23</v>
      </c>
      <c r="N35">
        <v>43</v>
      </c>
      <c r="O35" s="1">
        <v>34.848484848484802</v>
      </c>
      <c r="P35">
        <v>40</v>
      </c>
      <c r="Q35">
        <v>26</v>
      </c>
      <c r="R35" s="1">
        <v>60.606060606060602</v>
      </c>
      <c r="S35">
        <v>12</v>
      </c>
      <c r="T35">
        <v>54</v>
      </c>
      <c r="U35" s="1">
        <v>18.181818181818102</v>
      </c>
      <c r="V35">
        <v>0</v>
      </c>
      <c r="W35">
        <v>0</v>
      </c>
      <c r="X35" s="8">
        <v>0</v>
      </c>
    </row>
    <row r="36" spans="1:24" x14ac:dyDescent="0.2">
      <c r="A36" s="7">
        <v>2</v>
      </c>
      <c r="B36" t="s">
        <v>36</v>
      </c>
      <c r="C36" t="s">
        <v>26</v>
      </c>
      <c r="D36">
        <v>66</v>
      </c>
      <c r="E36">
        <v>58</v>
      </c>
      <c r="F36">
        <v>0</v>
      </c>
      <c r="G36">
        <v>66</v>
      </c>
      <c r="H36" s="1">
        <v>0</v>
      </c>
      <c r="I36">
        <v>198</v>
      </c>
      <c r="J36">
        <v>8</v>
      </c>
      <c r="K36">
        <v>190</v>
      </c>
      <c r="L36" s="1">
        <v>4.0404040404039998E-2</v>
      </c>
      <c r="M36">
        <v>5</v>
      </c>
      <c r="N36">
        <v>61</v>
      </c>
      <c r="O36" s="1">
        <v>7.5757575757575699</v>
      </c>
      <c r="P36">
        <v>3</v>
      </c>
      <c r="Q36">
        <v>63</v>
      </c>
      <c r="R36" s="1">
        <v>4.5454545454545396</v>
      </c>
      <c r="S36">
        <v>0</v>
      </c>
      <c r="T36">
        <v>66</v>
      </c>
      <c r="U36" s="1">
        <v>0</v>
      </c>
      <c r="V36">
        <v>0</v>
      </c>
      <c r="W36">
        <v>0</v>
      </c>
      <c r="X36" s="8">
        <v>0</v>
      </c>
    </row>
    <row r="37" spans="1:24" ht="17" thickBot="1" x14ac:dyDescent="0.25">
      <c r="A37" s="9">
        <v>2</v>
      </c>
      <c r="B37" s="10" t="s">
        <v>35</v>
      </c>
      <c r="C37" s="10" t="s">
        <v>26</v>
      </c>
      <c r="D37" s="10">
        <v>66</v>
      </c>
      <c r="E37" s="10">
        <v>64</v>
      </c>
      <c r="F37" s="10">
        <v>2</v>
      </c>
      <c r="G37" s="10">
        <v>64</v>
      </c>
      <c r="H37" s="11">
        <v>3.0303030303030298</v>
      </c>
      <c r="I37" s="10">
        <v>198</v>
      </c>
      <c r="J37" s="10">
        <v>6</v>
      </c>
      <c r="K37" s="10">
        <v>192</v>
      </c>
      <c r="L37" s="11">
        <v>3.0303030303029999E-2</v>
      </c>
      <c r="M37" s="10">
        <v>2</v>
      </c>
      <c r="N37" s="10">
        <v>64</v>
      </c>
      <c r="O37" s="11">
        <v>3.0303030303030298</v>
      </c>
      <c r="P37" s="10">
        <v>2</v>
      </c>
      <c r="Q37" s="10">
        <v>64</v>
      </c>
      <c r="R37" s="11">
        <v>3.0303030303030298</v>
      </c>
      <c r="S37" s="10">
        <v>2</v>
      </c>
      <c r="T37" s="10">
        <v>64</v>
      </c>
      <c r="U37" s="11">
        <v>3.0303030303030298</v>
      </c>
      <c r="V37" s="10">
        <v>0</v>
      </c>
      <c r="W37" s="10">
        <v>0</v>
      </c>
      <c r="X37" s="12">
        <v>0</v>
      </c>
    </row>
  </sheetData>
  <sortState xmlns:xlrd2="http://schemas.microsoft.com/office/spreadsheetml/2017/richdata2" ref="A2:X37">
    <sortCondition ref="C2:C37"/>
    <sortCondition ref="B2:B3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FD45-8490-8C43-8232-3C3BB40AC10B}">
  <dimension ref="A1:L37"/>
  <sheetViews>
    <sheetView workbookViewId="0">
      <selection sqref="A1:L37"/>
    </sheetView>
  </sheetViews>
  <sheetFormatPr baseColWidth="10" defaultRowHeight="16" x14ac:dyDescent="0.2"/>
  <sheetData>
    <row r="1" spans="1:12" ht="52" thickBot="1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10</v>
      </c>
      <c r="I1" s="2" t="s">
        <v>13</v>
      </c>
      <c r="J1" s="2" t="s">
        <v>16</v>
      </c>
      <c r="K1" s="2" t="s">
        <v>19</v>
      </c>
      <c r="L1" s="2" t="s">
        <v>22</v>
      </c>
    </row>
    <row r="2" spans="1:12" x14ac:dyDescent="0.2">
      <c r="A2" s="3">
        <v>5</v>
      </c>
      <c r="B2" s="4" t="s">
        <v>33</v>
      </c>
      <c r="C2" s="4" t="s">
        <v>29</v>
      </c>
      <c r="D2" s="4">
        <v>24</v>
      </c>
      <c r="E2" s="4">
        <v>0</v>
      </c>
      <c r="F2" s="5">
        <v>0</v>
      </c>
      <c r="G2" s="4">
        <v>72</v>
      </c>
      <c r="H2" s="5">
        <v>0.41666666666666602</v>
      </c>
      <c r="I2" s="15">
        <v>91.6666666666666</v>
      </c>
      <c r="J2" s="5">
        <v>33.3333333333333</v>
      </c>
      <c r="K2" s="5">
        <v>0</v>
      </c>
      <c r="L2" s="6">
        <v>0</v>
      </c>
    </row>
    <row r="3" spans="1:12" x14ac:dyDescent="0.2">
      <c r="A3" s="7">
        <v>5</v>
      </c>
      <c r="B3" t="s">
        <v>23</v>
      </c>
      <c r="C3" t="s">
        <v>29</v>
      </c>
      <c r="D3">
        <v>24</v>
      </c>
      <c r="E3">
        <v>1</v>
      </c>
      <c r="F3" s="1">
        <v>0</v>
      </c>
      <c r="G3">
        <v>72</v>
      </c>
      <c r="H3" s="1">
        <v>0.375</v>
      </c>
      <c r="I3" s="1">
        <v>79.1666666666666</v>
      </c>
      <c r="J3" s="1">
        <v>33.3333333333333</v>
      </c>
      <c r="K3" s="1">
        <v>0</v>
      </c>
      <c r="L3" s="8">
        <v>0</v>
      </c>
    </row>
    <row r="4" spans="1:12" x14ac:dyDescent="0.2">
      <c r="A4" s="7">
        <v>5</v>
      </c>
      <c r="B4" t="s">
        <v>36</v>
      </c>
      <c r="C4" t="s">
        <v>29</v>
      </c>
      <c r="D4">
        <v>24</v>
      </c>
      <c r="E4">
        <v>5</v>
      </c>
      <c r="F4" s="1">
        <v>0</v>
      </c>
      <c r="G4">
        <v>72</v>
      </c>
      <c r="H4" s="1">
        <v>0.29166666666666602</v>
      </c>
      <c r="I4" s="1">
        <v>25</v>
      </c>
      <c r="J4" s="1">
        <v>62.5</v>
      </c>
      <c r="K4" s="1">
        <v>0</v>
      </c>
      <c r="L4" s="8">
        <v>0</v>
      </c>
    </row>
    <row r="5" spans="1:12" ht="17" thickBot="1" x14ac:dyDescent="0.25">
      <c r="A5" s="9">
        <v>5</v>
      </c>
      <c r="B5" s="10" t="s">
        <v>35</v>
      </c>
      <c r="C5" s="10" t="s">
        <v>29</v>
      </c>
      <c r="D5" s="10">
        <v>24</v>
      </c>
      <c r="E5" s="10">
        <v>5</v>
      </c>
      <c r="F5" s="11">
        <v>0</v>
      </c>
      <c r="G5" s="10">
        <v>72</v>
      </c>
      <c r="H5" s="13">
        <v>0.5</v>
      </c>
      <c r="I5" s="11">
        <v>75</v>
      </c>
      <c r="J5" s="13">
        <v>75</v>
      </c>
      <c r="K5" s="11">
        <v>0</v>
      </c>
      <c r="L5" s="12">
        <v>0</v>
      </c>
    </row>
    <row r="6" spans="1:12" x14ac:dyDescent="0.2">
      <c r="A6">
        <v>6</v>
      </c>
      <c r="B6" t="s">
        <v>33</v>
      </c>
      <c r="C6" t="s">
        <v>30</v>
      </c>
      <c r="D6">
        <v>8</v>
      </c>
      <c r="E6">
        <v>0</v>
      </c>
      <c r="F6" s="1">
        <v>50</v>
      </c>
      <c r="G6">
        <v>24</v>
      </c>
      <c r="H6" s="14">
        <v>0.83333333333333304</v>
      </c>
      <c r="I6" s="14">
        <v>100</v>
      </c>
      <c r="J6" s="14">
        <v>100</v>
      </c>
      <c r="K6" s="14">
        <v>50</v>
      </c>
      <c r="L6" s="1">
        <v>0</v>
      </c>
    </row>
    <row r="7" spans="1:12" x14ac:dyDescent="0.2">
      <c r="A7">
        <v>6</v>
      </c>
      <c r="B7" t="s">
        <v>23</v>
      </c>
      <c r="C7" t="s">
        <v>30</v>
      </c>
      <c r="D7">
        <v>8</v>
      </c>
      <c r="E7">
        <v>0</v>
      </c>
      <c r="F7" s="1">
        <v>50</v>
      </c>
      <c r="G7">
        <v>24</v>
      </c>
      <c r="H7" s="14">
        <v>0.83333333333333304</v>
      </c>
      <c r="I7" s="14">
        <v>100</v>
      </c>
      <c r="J7" s="14">
        <v>100</v>
      </c>
      <c r="K7" s="14">
        <v>50</v>
      </c>
      <c r="L7" s="1">
        <v>0</v>
      </c>
    </row>
    <row r="8" spans="1:12" x14ac:dyDescent="0.2">
      <c r="A8">
        <v>6</v>
      </c>
      <c r="B8" t="s">
        <v>36</v>
      </c>
      <c r="C8" t="s">
        <v>30</v>
      </c>
      <c r="D8">
        <v>8</v>
      </c>
      <c r="E8">
        <v>0</v>
      </c>
      <c r="F8" s="1">
        <v>0</v>
      </c>
      <c r="G8">
        <v>24</v>
      </c>
      <c r="H8" s="1">
        <v>0.58333333333333304</v>
      </c>
      <c r="I8" s="1">
        <v>50</v>
      </c>
      <c r="J8" s="14">
        <v>100</v>
      </c>
      <c r="K8" s="1">
        <v>25</v>
      </c>
      <c r="L8" s="1">
        <v>0</v>
      </c>
    </row>
    <row r="9" spans="1:12" ht="17" thickBot="1" x14ac:dyDescent="0.25">
      <c r="A9">
        <v>6</v>
      </c>
      <c r="B9" t="s">
        <v>35</v>
      </c>
      <c r="C9" t="s">
        <v>30</v>
      </c>
      <c r="D9">
        <v>8</v>
      </c>
      <c r="E9">
        <v>0</v>
      </c>
      <c r="F9" s="1">
        <v>50</v>
      </c>
      <c r="G9">
        <v>24</v>
      </c>
      <c r="H9" s="14">
        <v>0.83333333333333304</v>
      </c>
      <c r="I9" s="14">
        <v>100</v>
      </c>
      <c r="J9" s="14">
        <v>100</v>
      </c>
      <c r="K9" s="14">
        <v>50</v>
      </c>
      <c r="L9" s="1">
        <v>0</v>
      </c>
    </row>
    <row r="10" spans="1:12" x14ac:dyDescent="0.2">
      <c r="A10" s="3">
        <v>4</v>
      </c>
      <c r="B10" s="4" t="s">
        <v>33</v>
      </c>
      <c r="C10" s="4" t="s">
        <v>28</v>
      </c>
      <c r="D10" s="4">
        <v>34</v>
      </c>
      <c r="E10" s="4">
        <v>2</v>
      </c>
      <c r="F10" s="5">
        <v>0</v>
      </c>
      <c r="G10" s="4">
        <v>102</v>
      </c>
      <c r="H10" s="5">
        <v>0.10784313725490099</v>
      </c>
      <c r="I10" s="5">
        <v>29.411764705882302</v>
      </c>
      <c r="J10" s="15">
        <v>2.9411764705882302</v>
      </c>
      <c r="K10" s="5">
        <v>0</v>
      </c>
      <c r="L10" s="6">
        <v>0</v>
      </c>
    </row>
    <row r="11" spans="1:12" x14ac:dyDescent="0.2">
      <c r="A11" s="7">
        <v>4</v>
      </c>
      <c r="B11" t="s">
        <v>23</v>
      </c>
      <c r="C11" t="s">
        <v>28</v>
      </c>
      <c r="D11">
        <v>34</v>
      </c>
      <c r="E11">
        <v>1</v>
      </c>
      <c r="F11" s="1">
        <v>0</v>
      </c>
      <c r="G11">
        <v>102</v>
      </c>
      <c r="H11" s="1">
        <v>0.10784313725490099</v>
      </c>
      <c r="I11" s="1">
        <v>29.411764705882302</v>
      </c>
      <c r="J11" s="14">
        <v>2.9411764705882302</v>
      </c>
      <c r="K11" s="1">
        <v>0</v>
      </c>
      <c r="L11" s="8">
        <v>0</v>
      </c>
    </row>
    <row r="12" spans="1:12" x14ac:dyDescent="0.2">
      <c r="A12" s="7">
        <v>4</v>
      </c>
      <c r="B12" t="s">
        <v>36</v>
      </c>
      <c r="C12" t="s">
        <v>28</v>
      </c>
      <c r="D12">
        <v>34</v>
      </c>
      <c r="E12">
        <v>0</v>
      </c>
      <c r="F12" s="1">
        <v>0</v>
      </c>
      <c r="G12">
        <v>102</v>
      </c>
      <c r="H12" s="14">
        <v>0.12745098039215599</v>
      </c>
      <c r="I12" s="14">
        <v>35.294117647058798</v>
      </c>
      <c r="J12" s="14">
        <v>2.9411764705882302</v>
      </c>
      <c r="K12" s="1">
        <v>0</v>
      </c>
      <c r="L12" s="8">
        <v>0</v>
      </c>
    </row>
    <row r="13" spans="1:12" ht="17" thickBot="1" x14ac:dyDescent="0.25">
      <c r="A13" s="9">
        <v>4</v>
      </c>
      <c r="B13" s="10" t="s">
        <v>35</v>
      </c>
      <c r="C13" s="10" t="s">
        <v>28</v>
      </c>
      <c r="D13" s="10">
        <v>34</v>
      </c>
      <c r="E13" s="10">
        <v>8</v>
      </c>
      <c r="F13" s="11">
        <v>0</v>
      </c>
      <c r="G13" s="10">
        <v>102</v>
      </c>
      <c r="H13" s="11">
        <v>9.8039215686273995E-2</v>
      </c>
      <c r="I13" s="11">
        <v>29.411764705882302</v>
      </c>
      <c r="J13" s="11">
        <v>0</v>
      </c>
      <c r="K13" s="11">
        <v>0</v>
      </c>
      <c r="L13" s="12">
        <v>0</v>
      </c>
    </row>
    <row r="14" spans="1:12" x14ac:dyDescent="0.2">
      <c r="A14">
        <v>7</v>
      </c>
      <c r="B14" t="s">
        <v>33</v>
      </c>
      <c r="C14" t="s">
        <v>31</v>
      </c>
      <c r="D14">
        <v>13</v>
      </c>
      <c r="E14">
        <v>0</v>
      </c>
      <c r="F14" s="1">
        <v>100</v>
      </c>
      <c r="G14">
        <v>39</v>
      </c>
      <c r="H14" s="14">
        <v>1</v>
      </c>
      <c r="I14" s="14">
        <v>100</v>
      </c>
      <c r="J14" s="14">
        <v>100</v>
      </c>
      <c r="K14" s="14">
        <v>100</v>
      </c>
      <c r="L14" s="1">
        <v>0</v>
      </c>
    </row>
    <row r="15" spans="1:12" x14ac:dyDescent="0.2">
      <c r="A15">
        <v>7</v>
      </c>
      <c r="B15" t="s">
        <v>23</v>
      </c>
      <c r="C15" t="s">
        <v>31</v>
      </c>
      <c r="D15">
        <v>13</v>
      </c>
      <c r="E15">
        <v>0</v>
      </c>
      <c r="F15" s="1">
        <v>0</v>
      </c>
      <c r="G15">
        <v>39</v>
      </c>
      <c r="H15" s="1">
        <v>0.58974358974358898</v>
      </c>
      <c r="I15" s="14">
        <v>100</v>
      </c>
      <c r="J15" s="1">
        <v>76.923076923076906</v>
      </c>
      <c r="K15" s="1">
        <v>0</v>
      </c>
      <c r="L15" s="1">
        <v>0</v>
      </c>
    </row>
    <row r="16" spans="1:12" x14ac:dyDescent="0.2">
      <c r="A16">
        <v>7</v>
      </c>
      <c r="B16" t="s">
        <v>36</v>
      </c>
      <c r="C16" t="s">
        <v>31</v>
      </c>
      <c r="D16">
        <v>13</v>
      </c>
      <c r="E16">
        <v>0</v>
      </c>
      <c r="F16" s="1">
        <v>0</v>
      </c>
      <c r="G16">
        <v>39</v>
      </c>
      <c r="H16" s="1">
        <v>0.23076923076923</v>
      </c>
      <c r="I16" s="1">
        <v>69.230769230769198</v>
      </c>
      <c r="J16" s="1">
        <v>0</v>
      </c>
      <c r="K16" s="1">
        <v>0</v>
      </c>
      <c r="L16" s="1">
        <v>0</v>
      </c>
    </row>
    <row r="17" spans="1:12" ht="17" thickBot="1" x14ac:dyDescent="0.25">
      <c r="A17">
        <v>7</v>
      </c>
      <c r="B17" t="s">
        <v>35</v>
      </c>
      <c r="C17" t="s">
        <v>31</v>
      </c>
      <c r="D17">
        <v>13</v>
      </c>
      <c r="E17">
        <v>0</v>
      </c>
      <c r="F17" s="1">
        <v>0</v>
      </c>
      <c r="G17">
        <v>39</v>
      </c>
      <c r="H17" s="1">
        <v>0.41025641025641002</v>
      </c>
      <c r="I17" s="14">
        <v>100</v>
      </c>
      <c r="J17" s="1">
        <v>0</v>
      </c>
      <c r="K17" s="1">
        <v>23.076923076922998</v>
      </c>
      <c r="L17" s="1">
        <v>0</v>
      </c>
    </row>
    <row r="18" spans="1:12" x14ac:dyDescent="0.2">
      <c r="A18" s="3">
        <v>3</v>
      </c>
      <c r="B18" s="4" t="s">
        <v>33</v>
      </c>
      <c r="C18" s="4" t="s">
        <v>27</v>
      </c>
      <c r="D18" s="4">
        <v>28</v>
      </c>
      <c r="E18" s="4">
        <v>0</v>
      </c>
      <c r="F18" s="5">
        <v>32.142857142857103</v>
      </c>
      <c r="G18" s="4">
        <v>84</v>
      </c>
      <c r="H18" s="5">
        <v>0.452380952380952</v>
      </c>
      <c r="I18" s="5">
        <v>57.142857142857103</v>
      </c>
      <c r="J18" s="5">
        <v>46.428571428571402</v>
      </c>
      <c r="K18" s="5">
        <v>32.142857142857103</v>
      </c>
      <c r="L18" s="16">
        <v>66.6666666666666</v>
      </c>
    </row>
    <row r="19" spans="1:12" x14ac:dyDescent="0.2">
      <c r="A19" s="7">
        <v>3</v>
      </c>
      <c r="B19" t="s">
        <v>23</v>
      </c>
      <c r="C19" t="s">
        <v>27</v>
      </c>
      <c r="D19">
        <v>28</v>
      </c>
      <c r="E19">
        <v>4</v>
      </c>
      <c r="F19" s="1">
        <v>35.714285714285701</v>
      </c>
      <c r="G19">
        <v>84</v>
      </c>
      <c r="H19" s="14">
        <v>0.58333333333333304</v>
      </c>
      <c r="I19" s="14">
        <v>60.714285714285701</v>
      </c>
      <c r="J19" s="14">
        <v>78.571428571428498</v>
      </c>
      <c r="K19" s="1">
        <v>35.714285714285701</v>
      </c>
      <c r="L19" s="8">
        <v>51.851851851851798</v>
      </c>
    </row>
    <row r="20" spans="1:12" x14ac:dyDescent="0.2">
      <c r="A20" s="7">
        <v>3</v>
      </c>
      <c r="B20" t="s">
        <v>36</v>
      </c>
      <c r="C20" t="s">
        <v>27</v>
      </c>
      <c r="D20">
        <v>28</v>
      </c>
      <c r="E20">
        <v>19</v>
      </c>
      <c r="F20" s="1">
        <v>0</v>
      </c>
      <c r="G20">
        <v>84</v>
      </c>
      <c r="H20" s="1">
        <v>0.15476190476190399</v>
      </c>
      <c r="I20" s="1">
        <v>28.571428571428498</v>
      </c>
      <c r="J20" s="1">
        <v>17.857142857142801</v>
      </c>
      <c r="K20" s="1">
        <v>0</v>
      </c>
      <c r="L20" s="8">
        <v>0</v>
      </c>
    </row>
    <row r="21" spans="1:12" ht="17" thickBot="1" x14ac:dyDescent="0.25">
      <c r="A21" s="9">
        <v>3</v>
      </c>
      <c r="B21" s="10" t="s">
        <v>35</v>
      </c>
      <c r="C21" s="10" t="s">
        <v>27</v>
      </c>
      <c r="D21" s="10">
        <v>28</v>
      </c>
      <c r="E21" s="10">
        <v>13</v>
      </c>
      <c r="F21" s="11">
        <v>35.714285714285701</v>
      </c>
      <c r="G21" s="10">
        <v>84</v>
      </c>
      <c r="H21" s="11">
        <v>0.452380952380952</v>
      </c>
      <c r="I21" s="11">
        <v>53.571428571428498</v>
      </c>
      <c r="J21" s="11">
        <v>39.285714285714199</v>
      </c>
      <c r="K21" s="13">
        <v>42.857142857142797</v>
      </c>
      <c r="L21" s="12">
        <v>0</v>
      </c>
    </row>
    <row r="22" spans="1:12" x14ac:dyDescent="0.2">
      <c r="A22">
        <v>8</v>
      </c>
      <c r="B22" t="s">
        <v>33</v>
      </c>
      <c r="C22" t="s">
        <v>32</v>
      </c>
      <c r="D22">
        <v>7</v>
      </c>
      <c r="E22">
        <v>0</v>
      </c>
      <c r="F22" s="1">
        <v>71.428571428571402</v>
      </c>
      <c r="G22">
        <v>21</v>
      </c>
      <c r="H22" s="14">
        <v>0.85714285714285698</v>
      </c>
      <c r="I22" s="14">
        <v>100</v>
      </c>
      <c r="J22" s="14">
        <v>85.714285714285694</v>
      </c>
      <c r="K22" s="14">
        <v>71.428571428571402</v>
      </c>
      <c r="L22" s="1">
        <v>0</v>
      </c>
    </row>
    <row r="23" spans="1:12" x14ac:dyDescent="0.2">
      <c r="A23">
        <v>8</v>
      </c>
      <c r="B23" t="s">
        <v>23</v>
      </c>
      <c r="C23" t="s">
        <v>32</v>
      </c>
      <c r="D23">
        <v>7</v>
      </c>
      <c r="E23">
        <v>0</v>
      </c>
      <c r="F23" s="1">
        <v>57.142857142857103</v>
      </c>
      <c r="G23">
        <v>21</v>
      </c>
      <c r="H23" s="1">
        <v>0.71428571428571397</v>
      </c>
      <c r="I23" s="14">
        <v>100</v>
      </c>
      <c r="J23" s="1">
        <v>57.142857142857103</v>
      </c>
      <c r="K23" s="1">
        <v>57.142857142857103</v>
      </c>
      <c r="L23" s="1">
        <v>0</v>
      </c>
    </row>
    <row r="24" spans="1:12" x14ac:dyDescent="0.2">
      <c r="A24">
        <v>8</v>
      </c>
      <c r="B24" t="s">
        <v>36</v>
      </c>
      <c r="C24" t="s">
        <v>32</v>
      </c>
      <c r="D24">
        <v>7</v>
      </c>
      <c r="E24">
        <v>0</v>
      </c>
      <c r="F24" s="1">
        <v>0</v>
      </c>
      <c r="G24">
        <v>21</v>
      </c>
      <c r="H24" s="1">
        <v>0.42857142857142799</v>
      </c>
      <c r="I24" s="1">
        <v>42.857142857142797</v>
      </c>
      <c r="J24" s="14">
        <v>85.714285714285694</v>
      </c>
      <c r="K24" s="1">
        <v>0</v>
      </c>
      <c r="L24" s="1">
        <v>0</v>
      </c>
    </row>
    <row r="25" spans="1:12" ht="17" thickBot="1" x14ac:dyDescent="0.25">
      <c r="A25">
        <v>8</v>
      </c>
      <c r="B25" t="s">
        <v>35</v>
      </c>
      <c r="C25" t="s">
        <v>32</v>
      </c>
      <c r="D25">
        <v>7</v>
      </c>
      <c r="E25">
        <v>0</v>
      </c>
      <c r="F25" s="1">
        <v>28.571428571428498</v>
      </c>
      <c r="G25">
        <v>21</v>
      </c>
      <c r="H25" s="1">
        <v>0.71428571428571397</v>
      </c>
      <c r="I25" s="14">
        <v>100</v>
      </c>
      <c r="J25" s="14">
        <v>85.714285714285694</v>
      </c>
      <c r="K25" s="1">
        <v>28.571428571428498</v>
      </c>
      <c r="L25" s="1">
        <v>0</v>
      </c>
    </row>
    <row r="26" spans="1:12" x14ac:dyDescent="0.2">
      <c r="A26" s="3">
        <v>0</v>
      </c>
      <c r="B26" s="4" t="s">
        <v>34</v>
      </c>
      <c r="C26" s="4" t="s">
        <v>24</v>
      </c>
      <c r="D26" s="4">
        <v>88</v>
      </c>
      <c r="E26" s="4">
        <v>2</v>
      </c>
      <c r="F26" s="5">
        <v>51.136363636363598</v>
      </c>
      <c r="G26" s="4">
        <v>264</v>
      </c>
      <c r="H26" s="5">
        <v>0.67045454545454497</v>
      </c>
      <c r="I26" s="15">
        <v>77.272727272727195</v>
      </c>
      <c r="J26" s="5">
        <v>68.181818181818102</v>
      </c>
      <c r="K26" s="15">
        <v>55.681818181818102</v>
      </c>
      <c r="L26" s="6">
        <v>0</v>
      </c>
    </row>
    <row r="27" spans="1:12" x14ac:dyDescent="0.2">
      <c r="A27" s="7">
        <v>0</v>
      </c>
      <c r="B27" t="s">
        <v>23</v>
      </c>
      <c r="C27" t="s">
        <v>24</v>
      </c>
      <c r="D27">
        <v>88</v>
      </c>
      <c r="E27">
        <v>5</v>
      </c>
      <c r="F27" s="1">
        <v>45.454545454545404</v>
      </c>
      <c r="G27">
        <v>264</v>
      </c>
      <c r="H27" s="14">
        <v>0.69318181818181801</v>
      </c>
      <c r="I27" s="1">
        <v>76.136363636363598</v>
      </c>
      <c r="J27" s="14">
        <v>81.818181818181799</v>
      </c>
      <c r="K27" s="1">
        <v>50</v>
      </c>
      <c r="L27" s="8">
        <v>0</v>
      </c>
    </row>
    <row r="28" spans="1:12" x14ac:dyDescent="0.2">
      <c r="A28" s="7">
        <v>0</v>
      </c>
      <c r="B28" t="s">
        <v>36</v>
      </c>
      <c r="C28" t="s">
        <v>24</v>
      </c>
      <c r="D28">
        <v>88</v>
      </c>
      <c r="E28">
        <v>17</v>
      </c>
      <c r="F28" s="1">
        <v>0</v>
      </c>
      <c r="G28">
        <v>264</v>
      </c>
      <c r="H28" s="1">
        <v>0.27651515151515099</v>
      </c>
      <c r="I28" s="1">
        <v>47.727272727272698</v>
      </c>
      <c r="J28" s="1">
        <v>27.272727272727199</v>
      </c>
      <c r="K28" s="1">
        <v>7.9545454545454497</v>
      </c>
      <c r="L28" s="8">
        <v>0</v>
      </c>
    </row>
    <row r="29" spans="1:12" ht="17" thickBot="1" x14ac:dyDescent="0.25">
      <c r="A29" s="9">
        <v>0</v>
      </c>
      <c r="B29" s="10" t="s">
        <v>35</v>
      </c>
      <c r="C29" s="10" t="s">
        <v>24</v>
      </c>
      <c r="D29" s="10">
        <v>88</v>
      </c>
      <c r="E29" s="10">
        <v>40</v>
      </c>
      <c r="F29" s="11">
        <v>11.363636363636299</v>
      </c>
      <c r="G29" s="10">
        <v>264</v>
      </c>
      <c r="H29" s="11">
        <v>0.34848484848484801</v>
      </c>
      <c r="I29" s="11">
        <v>42.045454545454497</v>
      </c>
      <c r="J29" s="11">
        <v>23.863636363636299</v>
      </c>
      <c r="K29" s="11">
        <v>38.636363636363598</v>
      </c>
      <c r="L29" s="12">
        <v>0</v>
      </c>
    </row>
    <row r="30" spans="1:12" x14ac:dyDescent="0.2">
      <c r="A30">
        <v>1</v>
      </c>
      <c r="B30" t="s">
        <v>33</v>
      </c>
      <c r="C30" t="s">
        <v>25</v>
      </c>
      <c r="D30">
        <v>63</v>
      </c>
      <c r="E30">
        <v>0</v>
      </c>
      <c r="F30" s="1">
        <v>46.031746031746003</v>
      </c>
      <c r="G30">
        <v>189</v>
      </c>
      <c r="H30" s="14">
        <v>0.73015873015873001</v>
      </c>
      <c r="I30" s="14">
        <v>87.301587301587304</v>
      </c>
      <c r="J30" s="14">
        <v>79.365079365079296</v>
      </c>
      <c r="K30" s="14">
        <v>52.380952380952301</v>
      </c>
      <c r="L30" s="1">
        <v>0</v>
      </c>
    </row>
    <row r="31" spans="1:12" x14ac:dyDescent="0.2">
      <c r="A31">
        <v>1</v>
      </c>
      <c r="B31" t="s">
        <v>23</v>
      </c>
      <c r="C31" t="s">
        <v>25</v>
      </c>
      <c r="D31">
        <v>63</v>
      </c>
      <c r="E31">
        <v>8</v>
      </c>
      <c r="F31" s="1">
        <v>38.095238095238003</v>
      </c>
      <c r="G31">
        <v>189</v>
      </c>
      <c r="H31" s="1">
        <v>0.61375661375661295</v>
      </c>
      <c r="I31" s="1">
        <v>65.079365079365004</v>
      </c>
      <c r="J31" s="1">
        <v>69.841269841269806</v>
      </c>
      <c r="K31" s="1">
        <v>49.206349206349202</v>
      </c>
      <c r="L31" s="1">
        <v>0</v>
      </c>
    </row>
    <row r="32" spans="1:12" x14ac:dyDescent="0.2">
      <c r="A32">
        <v>1</v>
      </c>
      <c r="B32" t="s">
        <v>36</v>
      </c>
      <c r="C32" t="s">
        <v>25</v>
      </c>
      <c r="D32">
        <v>63</v>
      </c>
      <c r="E32">
        <v>15</v>
      </c>
      <c r="F32" s="1">
        <v>0</v>
      </c>
      <c r="G32">
        <v>189</v>
      </c>
      <c r="H32" s="1">
        <v>0.26455026455026398</v>
      </c>
      <c r="I32" s="1">
        <v>57.142857142857103</v>
      </c>
      <c r="J32" s="1">
        <v>22.2222222222222</v>
      </c>
      <c r="K32" s="1">
        <v>0</v>
      </c>
      <c r="L32" s="1">
        <v>0</v>
      </c>
    </row>
    <row r="33" spans="1:12" ht="17" thickBot="1" x14ac:dyDescent="0.25">
      <c r="A33">
        <v>1</v>
      </c>
      <c r="B33" t="s">
        <v>35</v>
      </c>
      <c r="C33" t="s">
        <v>25</v>
      </c>
      <c r="D33">
        <v>63</v>
      </c>
      <c r="E33">
        <v>24</v>
      </c>
      <c r="F33" s="1">
        <v>15.873015873015801</v>
      </c>
      <c r="G33">
        <v>189</v>
      </c>
      <c r="H33" s="1">
        <v>0.41798941798941702</v>
      </c>
      <c r="I33" s="1">
        <v>55.5555555555555</v>
      </c>
      <c r="J33" s="1">
        <v>25.396825396825299</v>
      </c>
      <c r="K33" s="1">
        <v>44.4444444444444</v>
      </c>
      <c r="L33" s="1">
        <v>0</v>
      </c>
    </row>
    <row r="34" spans="1:12" x14ac:dyDescent="0.2">
      <c r="A34" s="3">
        <v>2</v>
      </c>
      <c r="B34" s="4" t="s">
        <v>33</v>
      </c>
      <c r="C34" s="4" t="s">
        <v>26</v>
      </c>
      <c r="D34" s="4">
        <v>66</v>
      </c>
      <c r="E34" s="4">
        <v>2</v>
      </c>
      <c r="F34" s="5">
        <v>31.818181818181799</v>
      </c>
      <c r="G34" s="4">
        <v>198</v>
      </c>
      <c r="H34" s="15">
        <v>0.59090909090909005</v>
      </c>
      <c r="I34" s="15">
        <v>57.5757575757575</v>
      </c>
      <c r="J34" s="15">
        <v>87.878787878787804</v>
      </c>
      <c r="K34" s="15">
        <v>31.818181818181799</v>
      </c>
      <c r="L34" s="6">
        <v>0</v>
      </c>
    </row>
    <row r="35" spans="1:12" x14ac:dyDescent="0.2">
      <c r="A35" s="7">
        <v>2</v>
      </c>
      <c r="B35" t="s">
        <v>23</v>
      </c>
      <c r="C35" t="s">
        <v>26</v>
      </c>
      <c r="D35">
        <v>66</v>
      </c>
      <c r="E35">
        <v>19</v>
      </c>
      <c r="F35" s="1">
        <v>16.6666666666666</v>
      </c>
      <c r="G35">
        <v>198</v>
      </c>
      <c r="H35" s="1">
        <v>0.37878787878787801</v>
      </c>
      <c r="I35" s="1">
        <v>34.848484848484802</v>
      </c>
      <c r="J35" s="1">
        <v>60.606060606060602</v>
      </c>
      <c r="K35" s="1">
        <v>18.181818181818102</v>
      </c>
      <c r="L35" s="8">
        <v>0</v>
      </c>
    </row>
    <row r="36" spans="1:12" x14ac:dyDescent="0.2">
      <c r="A36" s="7">
        <v>2</v>
      </c>
      <c r="B36" t="s">
        <v>36</v>
      </c>
      <c r="C36" t="s">
        <v>26</v>
      </c>
      <c r="D36">
        <v>66</v>
      </c>
      <c r="E36">
        <v>58</v>
      </c>
      <c r="F36" s="1">
        <v>0</v>
      </c>
      <c r="G36">
        <v>198</v>
      </c>
      <c r="H36" s="1">
        <v>4.0404040404039998E-2</v>
      </c>
      <c r="I36" s="1">
        <v>7.5757575757575699</v>
      </c>
      <c r="J36" s="1">
        <v>4.5454545454545396</v>
      </c>
      <c r="K36" s="1">
        <v>0</v>
      </c>
      <c r="L36" s="8">
        <v>0</v>
      </c>
    </row>
    <row r="37" spans="1:12" ht="17" thickBot="1" x14ac:dyDescent="0.25">
      <c r="A37" s="9">
        <v>2</v>
      </c>
      <c r="B37" s="10" t="s">
        <v>35</v>
      </c>
      <c r="C37" s="10" t="s">
        <v>26</v>
      </c>
      <c r="D37" s="10">
        <v>66</v>
      </c>
      <c r="E37" s="10">
        <v>64</v>
      </c>
      <c r="F37" s="11">
        <v>3.0303030303030298</v>
      </c>
      <c r="G37" s="10">
        <v>198</v>
      </c>
      <c r="H37" s="11">
        <v>3.0303030303029999E-2</v>
      </c>
      <c r="I37" s="11">
        <v>3.0303030303030298</v>
      </c>
      <c r="J37" s="11">
        <v>3.0303030303030298</v>
      </c>
      <c r="K37" s="11">
        <v>3.0303030303030298</v>
      </c>
      <c r="L37" s="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9C1F9-1311-114E-AB76-E8C9DE79FF9A}">
  <dimension ref="A1:L47"/>
  <sheetViews>
    <sheetView topLeftCell="A11" workbookViewId="0">
      <selection activeCell="B28" sqref="B28:K47"/>
    </sheetView>
  </sheetViews>
  <sheetFormatPr baseColWidth="10" defaultRowHeight="16" x14ac:dyDescent="0.2"/>
  <sheetData>
    <row r="1" spans="1:12" ht="52" thickBot="1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10</v>
      </c>
      <c r="I1" s="2" t="s">
        <v>13</v>
      </c>
      <c r="J1" s="2" t="s">
        <v>16</v>
      </c>
      <c r="K1" s="2" t="s">
        <v>19</v>
      </c>
      <c r="L1" s="2" t="s">
        <v>22</v>
      </c>
    </row>
    <row r="2" spans="1:12" x14ac:dyDescent="0.2">
      <c r="A2" s="3">
        <v>5</v>
      </c>
      <c r="B2" s="4" t="s">
        <v>33</v>
      </c>
      <c r="C2" s="4" t="s">
        <v>29</v>
      </c>
      <c r="D2" s="4">
        <v>24</v>
      </c>
      <c r="E2" s="4">
        <v>0</v>
      </c>
      <c r="F2" s="5">
        <v>0</v>
      </c>
      <c r="G2" s="4">
        <v>72</v>
      </c>
      <c r="H2" s="5">
        <f>SUM(0.416666666666666*100)</f>
        <v>41.6666666666666</v>
      </c>
      <c r="I2" s="15">
        <v>91.6666666666666</v>
      </c>
      <c r="J2" s="5">
        <v>33.3333333333333</v>
      </c>
      <c r="K2" s="5">
        <v>0</v>
      </c>
      <c r="L2" s="6">
        <v>0</v>
      </c>
    </row>
    <row r="3" spans="1:12" x14ac:dyDescent="0.2">
      <c r="A3" s="7">
        <v>5</v>
      </c>
      <c r="B3" t="s">
        <v>23</v>
      </c>
      <c r="C3" t="s">
        <v>29</v>
      </c>
      <c r="D3">
        <v>24</v>
      </c>
      <c r="E3">
        <v>1</v>
      </c>
      <c r="F3" s="1">
        <v>0</v>
      </c>
      <c r="G3">
        <v>72</v>
      </c>
      <c r="H3" s="1">
        <f>SUM(0.375*100)</f>
        <v>37.5</v>
      </c>
      <c r="I3" s="1">
        <v>79.1666666666666</v>
      </c>
      <c r="J3" s="1">
        <v>33.3333333333333</v>
      </c>
      <c r="K3" s="1">
        <v>0</v>
      </c>
      <c r="L3" s="8">
        <v>0</v>
      </c>
    </row>
    <row r="4" spans="1:12" x14ac:dyDescent="0.2">
      <c r="A4" s="7">
        <v>5</v>
      </c>
      <c r="B4" t="s">
        <v>36</v>
      </c>
      <c r="C4" t="s">
        <v>29</v>
      </c>
      <c r="D4">
        <v>24</v>
      </c>
      <c r="E4">
        <v>5</v>
      </c>
      <c r="F4" s="1">
        <v>0</v>
      </c>
      <c r="G4">
        <v>72</v>
      </c>
      <c r="H4" s="1">
        <f>SUM(0.291666666666666*100)</f>
        <v>29.1666666666666</v>
      </c>
      <c r="I4" s="1">
        <v>25</v>
      </c>
      <c r="J4" s="1">
        <v>62.5</v>
      </c>
      <c r="K4" s="1">
        <v>0</v>
      </c>
      <c r="L4" s="8">
        <v>0</v>
      </c>
    </row>
    <row r="5" spans="1:12" ht="17" thickBot="1" x14ac:dyDescent="0.25">
      <c r="A5" s="9">
        <v>5</v>
      </c>
      <c r="B5" s="10" t="s">
        <v>35</v>
      </c>
      <c r="C5" s="10" t="s">
        <v>29</v>
      </c>
      <c r="D5" s="10">
        <v>24</v>
      </c>
      <c r="E5" s="10">
        <v>5</v>
      </c>
      <c r="F5" s="11">
        <v>0</v>
      </c>
      <c r="G5" s="10">
        <v>72</v>
      </c>
      <c r="H5" s="13">
        <f>SUM(0.5*100)</f>
        <v>50</v>
      </c>
      <c r="I5" s="11">
        <v>75</v>
      </c>
      <c r="J5" s="13">
        <v>75</v>
      </c>
      <c r="K5" s="11">
        <v>0</v>
      </c>
      <c r="L5" s="12">
        <v>0</v>
      </c>
    </row>
    <row r="6" spans="1:12" x14ac:dyDescent="0.2">
      <c r="A6">
        <v>6</v>
      </c>
      <c r="B6" t="s">
        <v>33</v>
      </c>
      <c r="C6" t="s">
        <v>30</v>
      </c>
      <c r="D6">
        <v>8</v>
      </c>
      <c r="E6">
        <v>0</v>
      </c>
      <c r="F6" s="1">
        <v>50</v>
      </c>
      <c r="G6">
        <v>24</v>
      </c>
      <c r="H6" s="14">
        <f>SUM(0.833333333333333*100)</f>
        <v>83.3333333333333</v>
      </c>
      <c r="I6" s="14">
        <v>100</v>
      </c>
      <c r="J6" s="14">
        <v>100</v>
      </c>
      <c r="K6" s="14">
        <v>50</v>
      </c>
      <c r="L6" s="1">
        <v>0</v>
      </c>
    </row>
    <row r="7" spans="1:12" x14ac:dyDescent="0.2">
      <c r="A7">
        <v>6</v>
      </c>
      <c r="B7" t="s">
        <v>23</v>
      </c>
      <c r="C7" t="s">
        <v>30</v>
      </c>
      <c r="D7">
        <v>8</v>
      </c>
      <c r="E7">
        <v>0</v>
      </c>
      <c r="F7" s="1">
        <v>50</v>
      </c>
      <c r="G7">
        <v>24</v>
      </c>
      <c r="H7" s="14">
        <f>SUM(0.833333333333333*100)</f>
        <v>83.3333333333333</v>
      </c>
      <c r="I7" s="14">
        <v>100</v>
      </c>
      <c r="J7" s="14">
        <v>100</v>
      </c>
      <c r="K7" s="14">
        <v>50</v>
      </c>
      <c r="L7" s="1">
        <v>0</v>
      </c>
    </row>
    <row r="8" spans="1:12" x14ac:dyDescent="0.2">
      <c r="A8">
        <v>6</v>
      </c>
      <c r="B8" t="s">
        <v>36</v>
      </c>
      <c r="C8" t="s">
        <v>30</v>
      </c>
      <c r="D8">
        <v>8</v>
      </c>
      <c r="E8">
        <v>0</v>
      </c>
      <c r="F8" s="1">
        <v>0</v>
      </c>
      <c r="G8">
        <v>24</v>
      </c>
      <c r="H8" s="1">
        <f>SUM(0.583333333333333*100)</f>
        <v>58.3333333333333</v>
      </c>
      <c r="I8" s="1">
        <v>50</v>
      </c>
      <c r="J8" s="14">
        <v>100</v>
      </c>
      <c r="K8" s="1">
        <v>25</v>
      </c>
      <c r="L8" s="1">
        <v>0</v>
      </c>
    </row>
    <row r="9" spans="1:12" ht="17" thickBot="1" x14ac:dyDescent="0.25">
      <c r="A9">
        <v>6</v>
      </c>
      <c r="B9" t="s">
        <v>35</v>
      </c>
      <c r="C9" t="s">
        <v>30</v>
      </c>
      <c r="D9">
        <v>8</v>
      </c>
      <c r="E9">
        <v>0</v>
      </c>
      <c r="F9" s="1">
        <v>50</v>
      </c>
      <c r="G9">
        <v>24</v>
      </c>
      <c r="H9" s="14">
        <f>SUM(0.833333333333333*100)</f>
        <v>83.3333333333333</v>
      </c>
      <c r="I9" s="14">
        <v>100</v>
      </c>
      <c r="J9" s="14">
        <v>100</v>
      </c>
      <c r="K9" s="14">
        <v>50</v>
      </c>
      <c r="L9" s="1">
        <v>0</v>
      </c>
    </row>
    <row r="10" spans="1:12" x14ac:dyDescent="0.2">
      <c r="A10" s="3">
        <v>4</v>
      </c>
      <c r="B10" s="4" t="s">
        <v>33</v>
      </c>
      <c r="C10" s="4" t="s">
        <v>28</v>
      </c>
      <c r="D10" s="4">
        <v>34</v>
      </c>
      <c r="E10" s="4">
        <v>2</v>
      </c>
      <c r="F10" s="5">
        <v>0</v>
      </c>
      <c r="G10" s="4">
        <v>102</v>
      </c>
      <c r="H10" s="5">
        <f>SUM(0.107843137254901*100)</f>
        <v>10.784313725490099</v>
      </c>
      <c r="I10" s="5">
        <v>29.411764705882302</v>
      </c>
      <c r="J10" s="15">
        <v>2.9411764705882302</v>
      </c>
      <c r="K10" s="5">
        <v>0</v>
      </c>
      <c r="L10" s="6">
        <v>0</v>
      </c>
    </row>
    <row r="11" spans="1:12" x14ac:dyDescent="0.2">
      <c r="A11" s="7">
        <v>4</v>
      </c>
      <c r="B11" t="s">
        <v>23</v>
      </c>
      <c r="C11" t="s">
        <v>28</v>
      </c>
      <c r="D11">
        <v>34</v>
      </c>
      <c r="E11">
        <v>1</v>
      </c>
      <c r="F11" s="1">
        <v>0</v>
      </c>
      <c r="G11">
        <v>102</v>
      </c>
      <c r="H11" s="1">
        <f>SUM(0.107843137254901*100)</f>
        <v>10.784313725490099</v>
      </c>
      <c r="I11" s="1">
        <v>29.411764705882302</v>
      </c>
      <c r="J11" s="14">
        <v>2.9411764705882302</v>
      </c>
      <c r="K11" s="1">
        <v>0</v>
      </c>
      <c r="L11" s="8">
        <v>0</v>
      </c>
    </row>
    <row r="12" spans="1:12" x14ac:dyDescent="0.2">
      <c r="A12" s="7">
        <v>4</v>
      </c>
      <c r="B12" t="s">
        <v>36</v>
      </c>
      <c r="C12" t="s">
        <v>28</v>
      </c>
      <c r="D12">
        <v>34</v>
      </c>
      <c r="E12">
        <v>0</v>
      </c>
      <c r="F12" s="1">
        <v>0</v>
      </c>
      <c r="G12">
        <v>102</v>
      </c>
      <c r="H12" s="14">
        <f>SUM(0.127450980392156*100)</f>
        <v>12.7450980392156</v>
      </c>
      <c r="I12" s="14">
        <v>35.294117647058798</v>
      </c>
      <c r="J12" s="14">
        <v>2.9411764705882302</v>
      </c>
      <c r="K12" s="1">
        <v>0</v>
      </c>
      <c r="L12" s="8">
        <v>0</v>
      </c>
    </row>
    <row r="13" spans="1:12" ht="17" thickBot="1" x14ac:dyDescent="0.25">
      <c r="A13" s="9">
        <v>4</v>
      </c>
      <c r="B13" s="10" t="s">
        <v>35</v>
      </c>
      <c r="C13" s="10" t="s">
        <v>28</v>
      </c>
      <c r="D13" s="10">
        <v>34</v>
      </c>
      <c r="E13" s="10">
        <v>8</v>
      </c>
      <c r="F13" s="11">
        <v>0</v>
      </c>
      <c r="G13" s="10">
        <v>102</v>
      </c>
      <c r="H13" s="11">
        <f>SUM(0.098039215686274*100)</f>
        <v>9.8039215686274002</v>
      </c>
      <c r="I13" s="11">
        <v>29.411764705882302</v>
      </c>
      <c r="J13" s="11">
        <v>0</v>
      </c>
      <c r="K13" s="11">
        <v>0</v>
      </c>
      <c r="L13" s="12">
        <v>0</v>
      </c>
    </row>
    <row r="14" spans="1:12" x14ac:dyDescent="0.2">
      <c r="A14">
        <v>7</v>
      </c>
      <c r="B14" t="s">
        <v>33</v>
      </c>
      <c r="C14" t="s">
        <v>31</v>
      </c>
      <c r="D14">
        <v>13</v>
      </c>
      <c r="E14">
        <v>0</v>
      </c>
      <c r="F14" s="1">
        <v>100</v>
      </c>
      <c r="G14">
        <v>39</v>
      </c>
      <c r="H14" s="14">
        <f>SUM(1*100)</f>
        <v>100</v>
      </c>
      <c r="I14" s="14">
        <v>100</v>
      </c>
      <c r="J14" s="14">
        <v>100</v>
      </c>
      <c r="K14" s="14">
        <v>100</v>
      </c>
      <c r="L14" s="1">
        <v>0</v>
      </c>
    </row>
    <row r="15" spans="1:12" x14ac:dyDescent="0.2">
      <c r="A15">
        <v>7</v>
      </c>
      <c r="B15" t="s">
        <v>23</v>
      </c>
      <c r="C15" t="s">
        <v>31</v>
      </c>
      <c r="D15">
        <v>13</v>
      </c>
      <c r="E15">
        <v>0</v>
      </c>
      <c r="F15" s="1">
        <v>0</v>
      </c>
      <c r="G15">
        <v>39</v>
      </c>
      <c r="H15" s="1">
        <f>SUM(0.589743589743589*100)</f>
        <v>58.9743589743589</v>
      </c>
      <c r="I15" s="14">
        <v>100</v>
      </c>
      <c r="J15" s="1">
        <v>76.923076923076906</v>
      </c>
      <c r="K15" s="1">
        <v>0</v>
      </c>
      <c r="L15" s="1">
        <v>0</v>
      </c>
    </row>
    <row r="16" spans="1:12" x14ac:dyDescent="0.2">
      <c r="A16">
        <v>7</v>
      </c>
      <c r="B16" t="s">
        <v>36</v>
      </c>
      <c r="C16" t="s">
        <v>31</v>
      </c>
      <c r="D16">
        <v>13</v>
      </c>
      <c r="E16">
        <v>0</v>
      </c>
      <c r="F16" s="1">
        <v>0</v>
      </c>
      <c r="G16">
        <v>39</v>
      </c>
      <c r="H16" s="1">
        <f>SUM(0.23076923076923*100)</f>
        <v>23.076923076923002</v>
      </c>
      <c r="I16" s="1">
        <v>69.230769230769198</v>
      </c>
      <c r="J16" s="1">
        <v>0</v>
      </c>
      <c r="K16" s="1">
        <v>0</v>
      </c>
      <c r="L16" s="1">
        <v>0</v>
      </c>
    </row>
    <row r="17" spans="1:12" ht="17" thickBot="1" x14ac:dyDescent="0.25">
      <c r="A17">
        <v>7</v>
      </c>
      <c r="B17" t="s">
        <v>35</v>
      </c>
      <c r="C17" t="s">
        <v>31</v>
      </c>
      <c r="D17">
        <v>13</v>
      </c>
      <c r="E17">
        <v>0</v>
      </c>
      <c r="F17" s="1">
        <v>0</v>
      </c>
      <c r="G17">
        <v>39</v>
      </c>
      <c r="H17" s="1">
        <f>SUM(0.41025641025641*100)</f>
        <v>41.025641025641001</v>
      </c>
      <c r="I17" s="14">
        <v>100</v>
      </c>
      <c r="J17" s="1">
        <v>0</v>
      </c>
      <c r="K17" s="1">
        <v>23.076923076922998</v>
      </c>
      <c r="L17" s="1">
        <v>0</v>
      </c>
    </row>
    <row r="18" spans="1:12" x14ac:dyDescent="0.2">
      <c r="A18" s="3">
        <v>3</v>
      </c>
      <c r="B18" s="4" t="s">
        <v>33</v>
      </c>
      <c r="C18" s="4" t="s">
        <v>27</v>
      </c>
      <c r="D18" s="4">
        <v>28</v>
      </c>
      <c r="E18" s="4">
        <v>0</v>
      </c>
      <c r="F18" s="5">
        <v>32.142857142857103</v>
      </c>
      <c r="G18" s="4">
        <v>84</v>
      </c>
      <c r="H18" s="5">
        <f>SUM(0.452380952380952*100)</f>
        <v>45.238095238095198</v>
      </c>
      <c r="I18" s="5">
        <v>57.142857142857103</v>
      </c>
      <c r="J18" s="5">
        <v>46.428571428571402</v>
      </c>
      <c r="K18" s="5">
        <v>32.142857142857103</v>
      </c>
      <c r="L18" s="16">
        <v>66.6666666666666</v>
      </c>
    </row>
    <row r="19" spans="1:12" x14ac:dyDescent="0.2">
      <c r="A19" s="7">
        <v>3</v>
      </c>
      <c r="B19" t="s">
        <v>23</v>
      </c>
      <c r="C19" t="s">
        <v>27</v>
      </c>
      <c r="D19">
        <v>28</v>
      </c>
      <c r="E19">
        <v>4</v>
      </c>
      <c r="F19" s="1">
        <v>35.714285714285701</v>
      </c>
      <c r="G19">
        <v>84</v>
      </c>
      <c r="H19" s="14">
        <f>SUM(0.583333333333333*100)</f>
        <v>58.3333333333333</v>
      </c>
      <c r="I19" s="14">
        <v>60.714285714285701</v>
      </c>
      <c r="J19" s="14">
        <v>78.571428571428498</v>
      </c>
      <c r="K19" s="1">
        <v>35.714285714285701</v>
      </c>
      <c r="L19" s="8">
        <v>51.851851851851798</v>
      </c>
    </row>
    <row r="20" spans="1:12" x14ac:dyDescent="0.2">
      <c r="A20" s="7">
        <v>3</v>
      </c>
      <c r="B20" t="s">
        <v>36</v>
      </c>
      <c r="C20" t="s">
        <v>27</v>
      </c>
      <c r="D20">
        <v>28</v>
      </c>
      <c r="E20">
        <v>19</v>
      </c>
      <c r="F20" s="1">
        <v>0</v>
      </c>
      <c r="G20">
        <v>84</v>
      </c>
      <c r="H20" s="1">
        <f>SUM(0.154761904761904*100)</f>
        <v>15.4761904761904</v>
      </c>
      <c r="I20" s="1">
        <v>28.571428571428498</v>
      </c>
      <c r="J20" s="1">
        <v>17.857142857142801</v>
      </c>
      <c r="K20" s="1">
        <v>0</v>
      </c>
      <c r="L20" s="8">
        <v>0</v>
      </c>
    </row>
    <row r="21" spans="1:12" ht="17" thickBot="1" x14ac:dyDescent="0.25">
      <c r="A21" s="9">
        <v>3</v>
      </c>
      <c r="B21" s="10" t="s">
        <v>35</v>
      </c>
      <c r="C21" s="10" t="s">
        <v>27</v>
      </c>
      <c r="D21" s="10">
        <v>28</v>
      </c>
      <c r="E21" s="10">
        <v>13</v>
      </c>
      <c r="F21" s="11">
        <v>35.714285714285701</v>
      </c>
      <c r="G21" s="10">
        <v>84</v>
      </c>
      <c r="H21" s="11">
        <f>SUM(0.452380952380952*100)</f>
        <v>45.238095238095198</v>
      </c>
      <c r="I21" s="11">
        <v>53.571428571428498</v>
      </c>
      <c r="J21" s="11">
        <v>39.285714285714199</v>
      </c>
      <c r="K21" s="13">
        <v>42.857142857142797</v>
      </c>
      <c r="L21" s="12">
        <v>0</v>
      </c>
    </row>
    <row r="22" spans="1:12" x14ac:dyDescent="0.2">
      <c r="A22">
        <v>8</v>
      </c>
      <c r="B22" t="s">
        <v>33</v>
      </c>
      <c r="C22" t="s">
        <v>32</v>
      </c>
      <c r="D22">
        <v>7</v>
      </c>
      <c r="E22">
        <v>0</v>
      </c>
      <c r="F22" s="1">
        <v>71.428571428571402</v>
      </c>
      <c r="G22">
        <v>21</v>
      </c>
      <c r="H22" s="14">
        <f>SUM(0.857142857142857*100)</f>
        <v>85.714285714285694</v>
      </c>
      <c r="I22" s="14">
        <v>100</v>
      </c>
      <c r="J22" s="14">
        <v>85.714285714285694</v>
      </c>
      <c r="K22" s="14">
        <v>71.428571428571402</v>
      </c>
      <c r="L22" s="1">
        <v>0</v>
      </c>
    </row>
    <row r="23" spans="1:12" x14ac:dyDescent="0.2">
      <c r="A23">
        <v>8</v>
      </c>
      <c r="B23" t="s">
        <v>23</v>
      </c>
      <c r="C23" t="s">
        <v>32</v>
      </c>
      <c r="D23">
        <v>7</v>
      </c>
      <c r="E23">
        <v>0</v>
      </c>
      <c r="F23" s="1">
        <v>57.142857142857103</v>
      </c>
      <c r="G23">
        <v>21</v>
      </c>
      <c r="H23" s="1">
        <f>SUM(0.714285714285714*100)</f>
        <v>71.428571428571402</v>
      </c>
      <c r="I23" s="14">
        <v>100</v>
      </c>
      <c r="J23" s="1">
        <v>57.142857142857103</v>
      </c>
      <c r="K23" s="1">
        <v>57.142857142857103</v>
      </c>
      <c r="L23" s="1">
        <v>0</v>
      </c>
    </row>
    <row r="24" spans="1:12" x14ac:dyDescent="0.2">
      <c r="A24">
        <v>8</v>
      </c>
      <c r="B24" t="s">
        <v>36</v>
      </c>
      <c r="C24" t="s">
        <v>32</v>
      </c>
      <c r="D24">
        <v>7</v>
      </c>
      <c r="E24">
        <v>0</v>
      </c>
      <c r="F24" s="1">
        <v>0</v>
      </c>
      <c r="G24">
        <v>21</v>
      </c>
      <c r="H24" s="1">
        <f>SUM(0.428571428571428*100)</f>
        <v>42.857142857142797</v>
      </c>
      <c r="I24" s="1">
        <v>42.857142857142797</v>
      </c>
      <c r="J24" s="14">
        <v>85.714285714285694</v>
      </c>
      <c r="K24" s="1">
        <v>0</v>
      </c>
      <c r="L24" s="1">
        <v>0</v>
      </c>
    </row>
    <row r="25" spans="1:12" x14ac:dyDescent="0.2">
      <c r="A25">
        <v>8</v>
      </c>
      <c r="B25" t="s">
        <v>35</v>
      </c>
      <c r="C25" t="s">
        <v>32</v>
      </c>
      <c r="D25">
        <v>7</v>
      </c>
      <c r="E25">
        <v>0</v>
      </c>
      <c r="F25" s="1">
        <v>28.571428571428498</v>
      </c>
      <c r="G25">
        <v>21</v>
      </c>
      <c r="H25" s="1">
        <f>SUM(0.714285714285714*100)</f>
        <v>71.428571428571402</v>
      </c>
      <c r="I25" s="14">
        <v>100</v>
      </c>
      <c r="J25" s="14">
        <v>85.714285714285694</v>
      </c>
      <c r="K25" s="1">
        <v>28.571428571428498</v>
      </c>
      <c r="L25" s="1">
        <v>0</v>
      </c>
    </row>
    <row r="27" spans="1:12" ht="17" thickBot="1" x14ac:dyDescent="0.25"/>
    <row r="28" spans="1:12" x14ac:dyDescent="0.2">
      <c r="B28" s="17" t="s">
        <v>40</v>
      </c>
      <c r="C28" s="18">
        <v>24</v>
      </c>
      <c r="D28" s="4" t="s">
        <v>33</v>
      </c>
      <c r="E28" s="4">
        <v>0</v>
      </c>
      <c r="F28" s="5">
        <v>0</v>
      </c>
      <c r="G28" s="4">
        <v>72</v>
      </c>
      <c r="H28" s="5">
        <f>SUM(0.416666666666666*100)</f>
        <v>41.6666666666666</v>
      </c>
      <c r="I28" s="15">
        <v>91.6666666666666</v>
      </c>
      <c r="J28" s="5">
        <v>33.3333333333333</v>
      </c>
      <c r="K28" s="5">
        <v>0</v>
      </c>
    </row>
    <row r="29" spans="1:12" x14ac:dyDescent="0.2">
      <c r="B29" s="17"/>
      <c r="C29" s="17"/>
      <c r="D29" t="s">
        <v>23</v>
      </c>
      <c r="E29">
        <v>1</v>
      </c>
      <c r="F29" s="1">
        <v>0</v>
      </c>
      <c r="G29">
        <v>72</v>
      </c>
      <c r="H29" s="1">
        <f>SUM(0.375*100)</f>
        <v>37.5</v>
      </c>
      <c r="I29" s="1">
        <v>79.1666666666666</v>
      </c>
      <c r="J29" s="1">
        <v>33.3333333333333</v>
      </c>
      <c r="K29" s="1">
        <v>0</v>
      </c>
    </row>
    <row r="30" spans="1:12" x14ac:dyDescent="0.2">
      <c r="B30" s="17"/>
      <c r="C30" s="17"/>
      <c r="D30" t="s">
        <v>36</v>
      </c>
      <c r="E30">
        <v>5</v>
      </c>
      <c r="F30" s="1">
        <v>0</v>
      </c>
      <c r="G30">
        <v>72</v>
      </c>
      <c r="H30" s="1">
        <f>SUM(0.291666666666666*100)</f>
        <v>29.1666666666666</v>
      </c>
      <c r="I30" s="1">
        <v>25</v>
      </c>
      <c r="J30" s="1">
        <v>62.5</v>
      </c>
      <c r="K30" s="1">
        <v>0</v>
      </c>
    </row>
    <row r="31" spans="1:12" ht="17" thickBot="1" x14ac:dyDescent="0.25">
      <c r="B31" s="17"/>
      <c r="C31" s="17"/>
      <c r="D31" s="10" t="s">
        <v>35</v>
      </c>
      <c r="E31" s="10">
        <v>5</v>
      </c>
      <c r="F31" s="11">
        <v>0</v>
      </c>
      <c r="G31" s="10">
        <v>72</v>
      </c>
      <c r="H31" s="13">
        <f>SUM(0.5*100)</f>
        <v>50</v>
      </c>
      <c r="I31" s="11">
        <v>75</v>
      </c>
      <c r="J31" s="13">
        <v>75</v>
      </c>
      <c r="K31" s="11">
        <v>0</v>
      </c>
    </row>
    <row r="32" spans="1:12" x14ac:dyDescent="0.2">
      <c r="B32" s="17" t="s">
        <v>41</v>
      </c>
      <c r="C32" s="17">
        <v>8</v>
      </c>
      <c r="D32" t="s">
        <v>33</v>
      </c>
      <c r="E32">
        <v>0</v>
      </c>
      <c r="F32" s="1">
        <v>50</v>
      </c>
      <c r="G32">
        <v>24</v>
      </c>
      <c r="H32" s="14">
        <f>SUM(0.833333333333333*100)</f>
        <v>83.3333333333333</v>
      </c>
      <c r="I32" s="14">
        <v>100</v>
      </c>
      <c r="J32" s="14">
        <v>100</v>
      </c>
      <c r="K32" s="14">
        <v>50</v>
      </c>
    </row>
    <row r="33" spans="2:11" x14ac:dyDescent="0.2">
      <c r="B33" s="17"/>
      <c r="C33" s="17"/>
      <c r="D33" t="s">
        <v>23</v>
      </c>
      <c r="E33">
        <v>0</v>
      </c>
      <c r="F33" s="1">
        <v>50</v>
      </c>
      <c r="G33">
        <v>24</v>
      </c>
      <c r="H33" s="14">
        <f>SUM(0.833333333333333*100)</f>
        <v>83.3333333333333</v>
      </c>
      <c r="I33" s="14">
        <v>100</v>
      </c>
      <c r="J33" s="14">
        <v>100</v>
      </c>
      <c r="K33" s="14">
        <v>50</v>
      </c>
    </row>
    <row r="34" spans="2:11" x14ac:dyDescent="0.2">
      <c r="B34" s="17"/>
      <c r="C34" s="17"/>
      <c r="D34" t="s">
        <v>36</v>
      </c>
      <c r="E34">
        <v>0</v>
      </c>
      <c r="F34" s="1">
        <v>0</v>
      </c>
      <c r="G34">
        <v>24</v>
      </c>
      <c r="H34" s="1">
        <f>SUM(0.583333333333333*100)</f>
        <v>58.3333333333333</v>
      </c>
      <c r="I34" s="1">
        <v>50</v>
      </c>
      <c r="J34" s="14">
        <v>100</v>
      </c>
      <c r="K34" s="1">
        <v>25</v>
      </c>
    </row>
    <row r="35" spans="2:11" ht="17" thickBot="1" x14ac:dyDescent="0.25">
      <c r="B35" s="17"/>
      <c r="C35" s="17"/>
      <c r="D35" t="s">
        <v>35</v>
      </c>
      <c r="E35">
        <v>0</v>
      </c>
      <c r="F35" s="1">
        <v>50</v>
      </c>
      <c r="G35">
        <v>24</v>
      </c>
      <c r="H35" s="14">
        <f>SUM(0.833333333333333*100)</f>
        <v>83.3333333333333</v>
      </c>
      <c r="I35" s="14">
        <v>100</v>
      </c>
      <c r="J35" s="14">
        <v>100</v>
      </c>
      <c r="K35" s="14">
        <v>50</v>
      </c>
    </row>
    <row r="36" spans="2:11" x14ac:dyDescent="0.2">
      <c r="B36" s="17" t="s">
        <v>44</v>
      </c>
      <c r="C36" s="17">
        <v>34</v>
      </c>
      <c r="D36" s="4" t="s">
        <v>33</v>
      </c>
      <c r="E36" s="4">
        <v>2</v>
      </c>
      <c r="F36" s="5">
        <v>0</v>
      </c>
      <c r="G36" s="4">
        <v>102</v>
      </c>
      <c r="H36" s="5">
        <f>SUM(0.107843137254901*100)</f>
        <v>10.784313725490099</v>
      </c>
      <c r="I36" s="5">
        <v>29.411764705882302</v>
      </c>
      <c r="J36" s="15">
        <v>2.9411764705882302</v>
      </c>
      <c r="K36" s="5">
        <v>0</v>
      </c>
    </row>
    <row r="37" spans="2:11" x14ac:dyDescent="0.2">
      <c r="B37" s="17"/>
      <c r="C37" s="17"/>
      <c r="D37" t="s">
        <v>23</v>
      </c>
      <c r="E37">
        <v>1</v>
      </c>
      <c r="F37" s="1">
        <v>0</v>
      </c>
      <c r="G37">
        <v>102</v>
      </c>
      <c r="H37" s="1">
        <f>SUM(0.107843137254901*100)</f>
        <v>10.784313725490099</v>
      </c>
      <c r="I37" s="1">
        <v>29.411764705882302</v>
      </c>
      <c r="J37" s="14">
        <v>2.9411764705882302</v>
      </c>
      <c r="K37" s="1">
        <v>0</v>
      </c>
    </row>
    <row r="38" spans="2:11" x14ac:dyDescent="0.2">
      <c r="B38" s="17"/>
      <c r="C38" s="17"/>
      <c r="D38" t="s">
        <v>36</v>
      </c>
      <c r="E38">
        <v>0</v>
      </c>
      <c r="F38" s="1">
        <v>0</v>
      </c>
      <c r="G38">
        <v>102</v>
      </c>
      <c r="H38" s="14">
        <f>SUM(0.127450980392156*100)</f>
        <v>12.7450980392156</v>
      </c>
      <c r="I38" s="14">
        <v>35.294117647058798</v>
      </c>
      <c r="J38" s="14">
        <v>2.9411764705882302</v>
      </c>
      <c r="K38" s="1">
        <v>0</v>
      </c>
    </row>
    <row r="39" spans="2:11" ht="17" thickBot="1" x14ac:dyDescent="0.25">
      <c r="B39" s="17"/>
      <c r="C39" s="17"/>
      <c r="D39" s="10" t="s">
        <v>35</v>
      </c>
      <c r="E39" s="10">
        <v>8</v>
      </c>
      <c r="F39" s="11">
        <v>0</v>
      </c>
      <c r="G39" s="10">
        <v>102</v>
      </c>
      <c r="H39" s="11">
        <f>SUM(0.098039215686274*100)</f>
        <v>9.8039215686274002</v>
      </c>
      <c r="I39" s="11">
        <v>29.411764705882302</v>
      </c>
      <c r="J39" s="11">
        <v>0</v>
      </c>
      <c r="K39" s="11">
        <v>0</v>
      </c>
    </row>
    <row r="40" spans="2:11" x14ac:dyDescent="0.2">
      <c r="B40" s="17" t="s">
        <v>42</v>
      </c>
      <c r="C40" s="17">
        <v>13</v>
      </c>
      <c r="D40" t="s">
        <v>33</v>
      </c>
      <c r="E40">
        <v>0</v>
      </c>
      <c r="F40" s="1">
        <v>100</v>
      </c>
      <c r="G40">
        <v>39</v>
      </c>
      <c r="H40" s="14">
        <f>SUM(1*100)</f>
        <v>100</v>
      </c>
      <c r="I40" s="14">
        <v>100</v>
      </c>
      <c r="J40" s="14">
        <v>100</v>
      </c>
      <c r="K40" s="14">
        <v>100</v>
      </c>
    </row>
    <row r="41" spans="2:11" x14ac:dyDescent="0.2">
      <c r="B41" s="17"/>
      <c r="C41" s="17"/>
      <c r="D41" t="s">
        <v>23</v>
      </c>
      <c r="E41">
        <v>0</v>
      </c>
      <c r="F41" s="1">
        <v>0</v>
      </c>
      <c r="G41">
        <v>39</v>
      </c>
      <c r="H41" s="1">
        <f>SUM(0.589743589743589*100)</f>
        <v>58.9743589743589</v>
      </c>
      <c r="I41" s="14">
        <v>100</v>
      </c>
      <c r="J41" s="1">
        <v>76.923076923076906</v>
      </c>
      <c r="K41" s="1">
        <v>0</v>
      </c>
    </row>
    <row r="42" spans="2:11" x14ac:dyDescent="0.2">
      <c r="B42" s="17"/>
      <c r="C42" s="17"/>
      <c r="D42" t="s">
        <v>36</v>
      </c>
      <c r="E42">
        <v>0</v>
      </c>
      <c r="F42" s="1">
        <v>0</v>
      </c>
      <c r="G42">
        <v>39</v>
      </c>
      <c r="H42" s="1">
        <f>SUM(0.23076923076923*100)</f>
        <v>23.076923076923002</v>
      </c>
      <c r="I42" s="1">
        <v>69.230769230769198</v>
      </c>
      <c r="J42" s="1">
        <v>0</v>
      </c>
      <c r="K42" s="1">
        <v>0</v>
      </c>
    </row>
    <row r="43" spans="2:11" ht="17" thickBot="1" x14ac:dyDescent="0.25">
      <c r="B43" s="17"/>
      <c r="C43" s="17"/>
      <c r="D43" t="s">
        <v>35</v>
      </c>
      <c r="E43">
        <v>0</v>
      </c>
      <c r="F43" s="1">
        <v>0</v>
      </c>
      <c r="G43">
        <v>39</v>
      </c>
      <c r="H43" s="1">
        <f>SUM(0.41025641025641*100)</f>
        <v>41.025641025641001</v>
      </c>
      <c r="I43" s="14">
        <v>100</v>
      </c>
      <c r="J43" s="1">
        <v>0</v>
      </c>
      <c r="K43" s="1">
        <v>23.076923076922998</v>
      </c>
    </row>
    <row r="44" spans="2:11" x14ac:dyDescent="0.2">
      <c r="B44" s="17" t="s">
        <v>43</v>
      </c>
      <c r="C44" s="17">
        <v>7</v>
      </c>
      <c r="D44" s="4" t="s">
        <v>33</v>
      </c>
      <c r="E44">
        <v>0</v>
      </c>
      <c r="F44" s="1">
        <v>71.428571428571402</v>
      </c>
      <c r="G44">
        <v>21</v>
      </c>
      <c r="H44" s="14">
        <f>SUM(0.857142857142857*100)</f>
        <v>85.714285714285694</v>
      </c>
      <c r="I44" s="14">
        <v>100</v>
      </c>
      <c r="J44" s="14">
        <v>85.714285714285694</v>
      </c>
      <c r="K44" s="14">
        <v>71.428571428571402</v>
      </c>
    </row>
    <row r="45" spans="2:11" x14ac:dyDescent="0.2">
      <c r="B45" s="17"/>
      <c r="C45" s="17"/>
      <c r="D45" t="s">
        <v>23</v>
      </c>
      <c r="E45">
        <v>0</v>
      </c>
      <c r="F45" s="1">
        <v>57.142857142857103</v>
      </c>
      <c r="G45">
        <v>21</v>
      </c>
      <c r="H45" s="1">
        <f>SUM(0.714285714285714*100)</f>
        <v>71.428571428571402</v>
      </c>
      <c r="I45" s="14">
        <v>100</v>
      </c>
      <c r="J45" s="1">
        <v>57.142857142857103</v>
      </c>
      <c r="K45" s="1">
        <v>57.142857142857103</v>
      </c>
    </row>
    <row r="46" spans="2:11" x14ac:dyDescent="0.2">
      <c r="B46" s="17"/>
      <c r="C46" s="17"/>
      <c r="D46" t="s">
        <v>36</v>
      </c>
      <c r="E46">
        <v>0</v>
      </c>
      <c r="F46" s="1">
        <v>0</v>
      </c>
      <c r="G46">
        <v>21</v>
      </c>
      <c r="H46" s="1">
        <f>SUM(0.428571428571428*100)</f>
        <v>42.857142857142797</v>
      </c>
      <c r="I46" s="1">
        <v>42.857142857142797</v>
      </c>
      <c r="J46" s="14">
        <v>85.714285714285694</v>
      </c>
      <c r="K46" s="1">
        <v>0</v>
      </c>
    </row>
    <row r="47" spans="2:11" ht="17" thickBot="1" x14ac:dyDescent="0.25">
      <c r="B47" s="17"/>
      <c r="C47" s="17"/>
      <c r="D47" s="10" t="s">
        <v>35</v>
      </c>
      <c r="E47">
        <v>0</v>
      </c>
      <c r="F47" s="1">
        <v>28.571428571428498</v>
      </c>
      <c r="G47">
        <v>21</v>
      </c>
      <c r="H47" s="1">
        <f>SUM(0.714285714285714*100)</f>
        <v>71.428571428571402</v>
      </c>
      <c r="I47" s="14">
        <v>100</v>
      </c>
      <c r="J47" s="14">
        <v>85.714285714285694</v>
      </c>
      <c r="K47" s="1">
        <v>28.571428571428498</v>
      </c>
    </row>
  </sheetData>
  <mergeCells count="10">
    <mergeCell ref="C28:C31"/>
    <mergeCell ref="C32:C35"/>
    <mergeCell ref="C36:C39"/>
    <mergeCell ref="C40:C43"/>
    <mergeCell ref="C44:C47"/>
    <mergeCell ref="B28:B31"/>
    <mergeCell ref="B32:B35"/>
    <mergeCell ref="B36:B39"/>
    <mergeCell ref="B40:B43"/>
    <mergeCell ref="B44:B4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EB079-DA85-7648-AEB8-D3F8F0390F89}">
  <dimension ref="A1:L28"/>
  <sheetViews>
    <sheetView tabSelected="1" topLeftCell="A5" zoomScale="130" zoomScaleNormal="130" workbookViewId="0">
      <selection activeCell="C29" sqref="C29"/>
    </sheetView>
  </sheetViews>
  <sheetFormatPr baseColWidth="10" defaultRowHeight="16" x14ac:dyDescent="0.2"/>
  <sheetData>
    <row r="1" spans="1:12" ht="52" thickBot="1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10</v>
      </c>
      <c r="I1" s="2" t="s">
        <v>13</v>
      </c>
      <c r="J1" s="2" t="s">
        <v>16</v>
      </c>
      <c r="K1" s="2" t="s">
        <v>19</v>
      </c>
      <c r="L1" s="2" t="s">
        <v>22</v>
      </c>
    </row>
    <row r="2" spans="1:12" x14ac:dyDescent="0.2">
      <c r="A2" s="3">
        <v>0</v>
      </c>
      <c r="B2" s="4" t="s">
        <v>34</v>
      </c>
      <c r="C2" s="4" t="s">
        <v>24</v>
      </c>
      <c r="D2" s="4">
        <v>88</v>
      </c>
      <c r="E2" s="4">
        <v>2</v>
      </c>
      <c r="F2" s="5">
        <v>51.136363636363598</v>
      </c>
      <c r="G2" s="4">
        <v>264</v>
      </c>
      <c r="H2" s="5">
        <f>SUM(0.670454545454545*100)</f>
        <v>67.045454545454504</v>
      </c>
      <c r="I2" s="15">
        <v>77.272727272727195</v>
      </c>
      <c r="J2" s="5">
        <v>68.181818181818102</v>
      </c>
      <c r="K2" s="15">
        <v>55.681818181818102</v>
      </c>
      <c r="L2" s="6">
        <v>0</v>
      </c>
    </row>
    <row r="3" spans="1:12" x14ac:dyDescent="0.2">
      <c r="A3" s="7">
        <v>0</v>
      </c>
      <c r="B3" t="s">
        <v>23</v>
      </c>
      <c r="C3" t="s">
        <v>24</v>
      </c>
      <c r="D3">
        <v>88</v>
      </c>
      <c r="E3">
        <v>5</v>
      </c>
      <c r="F3" s="1">
        <v>45.454545454545404</v>
      </c>
      <c r="G3">
        <v>264</v>
      </c>
      <c r="H3" s="14">
        <f>SUM(0.693181818181818*100)</f>
        <v>69.318181818181799</v>
      </c>
      <c r="I3" s="1">
        <v>76.136363636363598</v>
      </c>
      <c r="J3" s="14">
        <v>81.818181818181799</v>
      </c>
      <c r="K3" s="1">
        <v>50</v>
      </c>
      <c r="L3" s="8">
        <v>0</v>
      </c>
    </row>
    <row r="4" spans="1:12" x14ac:dyDescent="0.2">
      <c r="A4" s="7">
        <v>0</v>
      </c>
      <c r="B4" t="s">
        <v>36</v>
      </c>
      <c r="C4" t="s">
        <v>24</v>
      </c>
      <c r="D4">
        <v>88</v>
      </c>
      <c r="E4">
        <v>17</v>
      </c>
      <c r="F4" s="1">
        <v>0</v>
      </c>
      <c r="G4">
        <v>264</v>
      </c>
      <c r="H4" s="1">
        <f>SUM(0.276515151515151*100)</f>
        <v>27.651515151515099</v>
      </c>
      <c r="I4" s="1">
        <v>47.727272727272698</v>
      </c>
      <c r="J4" s="1">
        <v>27.272727272727199</v>
      </c>
      <c r="K4" s="1">
        <v>7.9545454545454497</v>
      </c>
      <c r="L4" s="8">
        <v>0</v>
      </c>
    </row>
    <row r="5" spans="1:12" ht="17" thickBot="1" x14ac:dyDescent="0.25">
      <c r="A5" s="9">
        <v>0</v>
      </c>
      <c r="B5" s="10" t="s">
        <v>35</v>
      </c>
      <c r="C5" s="10" t="s">
        <v>24</v>
      </c>
      <c r="D5" s="10">
        <v>88</v>
      </c>
      <c r="E5" s="10">
        <v>40</v>
      </c>
      <c r="F5" s="11">
        <v>11.363636363636299</v>
      </c>
      <c r="G5" s="10">
        <v>264</v>
      </c>
      <c r="H5" s="11">
        <f>SUM(0.348484848484848*100)</f>
        <v>34.848484848484802</v>
      </c>
      <c r="I5" s="11">
        <v>42.045454545454497</v>
      </c>
      <c r="J5" s="11">
        <v>23.863636363636299</v>
      </c>
      <c r="K5" s="11">
        <v>38.636363636363598</v>
      </c>
      <c r="L5" s="12">
        <v>0</v>
      </c>
    </row>
    <row r="6" spans="1:12" x14ac:dyDescent="0.2">
      <c r="A6">
        <v>1</v>
      </c>
      <c r="B6" t="s">
        <v>33</v>
      </c>
      <c r="C6" t="s">
        <v>25</v>
      </c>
      <c r="D6">
        <v>63</v>
      </c>
      <c r="E6">
        <v>0</v>
      </c>
      <c r="F6" s="1">
        <v>46.031746031746003</v>
      </c>
      <c r="G6">
        <v>189</v>
      </c>
      <c r="H6" s="14">
        <f>SUM(0.73015873015873*100)</f>
        <v>73.015873015872998</v>
      </c>
      <c r="I6" s="14">
        <v>87.301587301587304</v>
      </c>
      <c r="J6" s="14">
        <v>79.365079365079296</v>
      </c>
      <c r="K6" s="14">
        <v>52.380952380952301</v>
      </c>
      <c r="L6" s="1">
        <v>0</v>
      </c>
    </row>
    <row r="7" spans="1:12" x14ac:dyDescent="0.2">
      <c r="A7">
        <v>1</v>
      </c>
      <c r="B7" t="s">
        <v>23</v>
      </c>
      <c r="C7" t="s">
        <v>25</v>
      </c>
      <c r="D7">
        <v>63</v>
      </c>
      <c r="E7">
        <v>8</v>
      </c>
      <c r="F7" s="1">
        <v>38.095238095238003</v>
      </c>
      <c r="G7">
        <v>189</v>
      </c>
      <c r="H7" s="1">
        <f>SUM(0.613756613756613*100)</f>
        <v>61.375661375661295</v>
      </c>
      <c r="I7" s="1">
        <v>65.079365079365004</v>
      </c>
      <c r="J7" s="1">
        <v>69.841269841269806</v>
      </c>
      <c r="K7" s="1">
        <v>49.206349206349202</v>
      </c>
      <c r="L7" s="1">
        <v>0</v>
      </c>
    </row>
    <row r="8" spans="1:12" x14ac:dyDescent="0.2">
      <c r="A8">
        <v>1</v>
      </c>
      <c r="B8" t="s">
        <v>36</v>
      </c>
      <c r="C8" t="s">
        <v>25</v>
      </c>
      <c r="D8">
        <v>63</v>
      </c>
      <c r="E8">
        <v>15</v>
      </c>
      <c r="F8" s="1">
        <v>0</v>
      </c>
      <c r="G8">
        <v>189</v>
      </c>
      <c r="H8" s="1">
        <f>SUM(0.264550264550264)</f>
        <v>0.26455026455026398</v>
      </c>
      <c r="I8" s="1">
        <v>57.142857142857103</v>
      </c>
      <c r="J8" s="1">
        <v>22.2222222222222</v>
      </c>
      <c r="K8" s="1">
        <v>0</v>
      </c>
      <c r="L8" s="1">
        <v>0</v>
      </c>
    </row>
    <row r="9" spans="1:12" ht="17" thickBot="1" x14ac:dyDescent="0.25">
      <c r="A9">
        <v>1</v>
      </c>
      <c r="B9" t="s">
        <v>35</v>
      </c>
      <c r="C9" t="s">
        <v>25</v>
      </c>
      <c r="D9">
        <v>63</v>
      </c>
      <c r="E9">
        <v>24</v>
      </c>
      <c r="F9" s="1">
        <v>15.873015873015801</v>
      </c>
      <c r="G9">
        <v>189</v>
      </c>
      <c r="H9" s="1">
        <f>SUM(0.417989417989417*100)</f>
        <v>41.798941798941705</v>
      </c>
      <c r="I9" s="1">
        <v>55.5555555555555</v>
      </c>
      <c r="J9" s="1">
        <v>25.396825396825299</v>
      </c>
      <c r="K9" s="1">
        <v>44.4444444444444</v>
      </c>
      <c r="L9" s="1">
        <v>0</v>
      </c>
    </row>
    <row r="10" spans="1:12" x14ac:dyDescent="0.2">
      <c r="A10" s="3">
        <v>2</v>
      </c>
      <c r="B10" s="4" t="s">
        <v>33</v>
      </c>
      <c r="C10" s="4" t="s">
        <v>26</v>
      </c>
      <c r="D10" s="4">
        <v>66</v>
      </c>
      <c r="E10" s="4">
        <v>2</v>
      </c>
      <c r="F10" s="5">
        <v>31.818181818181799</v>
      </c>
      <c r="G10" s="4">
        <v>198</v>
      </c>
      <c r="H10" s="15">
        <f>SUM(0.59090909090909*100)</f>
        <v>59.090909090909008</v>
      </c>
      <c r="I10" s="15">
        <v>57.5757575757575</v>
      </c>
      <c r="J10" s="15">
        <v>87.878787878787804</v>
      </c>
      <c r="K10" s="15">
        <v>31.818181818181799</v>
      </c>
      <c r="L10" s="6">
        <v>0</v>
      </c>
    </row>
    <row r="11" spans="1:12" x14ac:dyDescent="0.2">
      <c r="A11" s="7">
        <v>2</v>
      </c>
      <c r="B11" t="s">
        <v>23</v>
      </c>
      <c r="C11" t="s">
        <v>26</v>
      </c>
      <c r="D11">
        <v>66</v>
      </c>
      <c r="E11">
        <v>19</v>
      </c>
      <c r="F11" s="1">
        <v>16.6666666666666</v>
      </c>
      <c r="G11">
        <v>198</v>
      </c>
      <c r="H11" s="1">
        <f>SUM(0.378787878787878*100)</f>
        <v>37.878787878787804</v>
      </c>
      <c r="I11" s="1">
        <v>34.848484848484802</v>
      </c>
      <c r="J11" s="1">
        <v>60.606060606060602</v>
      </c>
      <c r="K11" s="1">
        <v>18.181818181818102</v>
      </c>
      <c r="L11" s="8">
        <v>0</v>
      </c>
    </row>
    <row r="12" spans="1:12" x14ac:dyDescent="0.2">
      <c r="A12" s="7">
        <v>2</v>
      </c>
      <c r="B12" t="s">
        <v>36</v>
      </c>
      <c r="C12" t="s">
        <v>26</v>
      </c>
      <c r="D12">
        <v>66</v>
      </c>
      <c r="E12">
        <v>58</v>
      </c>
      <c r="F12" s="1">
        <v>0</v>
      </c>
      <c r="G12">
        <v>198</v>
      </c>
      <c r="H12" s="1">
        <f>SUM(0.04040404040404*100)</f>
        <v>4.0404040404039998</v>
      </c>
      <c r="I12" s="1">
        <v>7.5757575757575699</v>
      </c>
      <c r="J12" s="1">
        <v>4.5454545454545396</v>
      </c>
      <c r="K12" s="1">
        <v>0</v>
      </c>
      <c r="L12" s="8">
        <v>0</v>
      </c>
    </row>
    <row r="13" spans="1:12" ht="17" thickBot="1" x14ac:dyDescent="0.25">
      <c r="A13" s="9">
        <v>2</v>
      </c>
      <c r="B13" s="10" t="s">
        <v>35</v>
      </c>
      <c r="C13" s="10" t="s">
        <v>26</v>
      </c>
      <c r="D13" s="10">
        <v>66</v>
      </c>
      <c r="E13" s="10">
        <v>64</v>
      </c>
      <c r="F13" s="11">
        <v>3.0303030303030298</v>
      </c>
      <c r="G13" s="10">
        <v>198</v>
      </c>
      <c r="H13" s="11">
        <f>SUM(0.03030303030303*100)</f>
        <v>3.0303030303030001</v>
      </c>
      <c r="I13" s="11">
        <v>3.0303030303030298</v>
      </c>
      <c r="J13" s="11">
        <v>3.0303030303030298</v>
      </c>
      <c r="K13" s="11">
        <v>3.0303030303030298</v>
      </c>
      <c r="L13" s="12">
        <v>0</v>
      </c>
    </row>
    <row r="15" spans="1:12" ht="17" thickBot="1" x14ac:dyDescent="0.25"/>
    <row r="16" spans="1:12" x14ac:dyDescent="0.2">
      <c r="B16" s="17" t="s">
        <v>37</v>
      </c>
      <c r="C16" s="17">
        <v>88</v>
      </c>
      <c r="D16" s="4" t="s">
        <v>34</v>
      </c>
      <c r="E16" s="4">
        <v>2</v>
      </c>
      <c r="F16" s="5">
        <v>51.136363636363598</v>
      </c>
      <c r="G16" s="4">
        <v>264</v>
      </c>
      <c r="H16" s="5">
        <f>SUM(0.670454545454545*100)</f>
        <v>67.045454545454504</v>
      </c>
      <c r="I16" s="15">
        <v>77.272727272727195</v>
      </c>
      <c r="J16" s="5">
        <v>68.181818181818102</v>
      </c>
      <c r="K16" s="15">
        <v>55.681818181818102</v>
      </c>
    </row>
    <row r="17" spans="2:11" x14ac:dyDescent="0.2">
      <c r="B17" s="17"/>
      <c r="C17" s="17"/>
      <c r="D17" t="s">
        <v>23</v>
      </c>
      <c r="E17">
        <v>5</v>
      </c>
      <c r="F17" s="1">
        <v>45.454545454545404</v>
      </c>
      <c r="G17">
        <v>264</v>
      </c>
      <c r="H17" s="14">
        <f>SUM(0.693181818181818*100)</f>
        <v>69.318181818181799</v>
      </c>
      <c r="I17" s="1">
        <v>76.136363636363598</v>
      </c>
      <c r="J17" s="14">
        <v>81.818181818181799</v>
      </c>
      <c r="K17" s="1">
        <v>50</v>
      </c>
    </row>
    <row r="18" spans="2:11" x14ac:dyDescent="0.2">
      <c r="B18" s="17"/>
      <c r="C18" s="17"/>
      <c r="D18" t="s">
        <v>36</v>
      </c>
      <c r="E18">
        <v>17</v>
      </c>
      <c r="F18" s="1">
        <v>0</v>
      </c>
      <c r="G18">
        <v>264</v>
      </c>
      <c r="H18" s="1">
        <f>SUM(0.276515151515151*100)</f>
        <v>27.651515151515099</v>
      </c>
      <c r="I18" s="1">
        <v>47.727272727272698</v>
      </c>
      <c r="J18" s="1">
        <v>27.272727272727199</v>
      </c>
      <c r="K18" s="1">
        <v>7.9545454545454497</v>
      </c>
    </row>
    <row r="19" spans="2:11" ht="17" thickBot="1" x14ac:dyDescent="0.25">
      <c r="B19" s="17"/>
      <c r="C19" s="17"/>
      <c r="D19" s="10" t="s">
        <v>35</v>
      </c>
      <c r="E19" s="10">
        <v>40</v>
      </c>
      <c r="F19" s="11">
        <v>11.363636363636299</v>
      </c>
      <c r="G19" s="10">
        <v>264</v>
      </c>
      <c r="H19" s="11">
        <f>SUM(0.348484848484848*100)</f>
        <v>34.848484848484802</v>
      </c>
      <c r="I19" s="11">
        <v>42.045454545454497</v>
      </c>
      <c r="J19" s="11">
        <v>23.863636363636299</v>
      </c>
      <c r="K19" s="11">
        <v>38.636363636363598</v>
      </c>
    </row>
    <row r="20" spans="2:11" x14ac:dyDescent="0.2">
      <c r="B20" s="17" t="s">
        <v>38</v>
      </c>
      <c r="C20" s="17">
        <v>63</v>
      </c>
      <c r="D20" t="s">
        <v>33</v>
      </c>
      <c r="E20">
        <v>0</v>
      </c>
      <c r="F20" s="1">
        <v>46.031746031746003</v>
      </c>
      <c r="G20">
        <v>189</v>
      </c>
      <c r="H20" s="14">
        <f>SUM(0.73015873015873*100)</f>
        <v>73.015873015872998</v>
      </c>
      <c r="I20" s="14">
        <v>87.301587301587304</v>
      </c>
      <c r="J20" s="14">
        <v>79.365079365079296</v>
      </c>
      <c r="K20" s="14">
        <v>52.380952380952301</v>
      </c>
    </row>
    <row r="21" spans="2:11" x14ac:dyDescent="0.2">
      <c r="B21" s="17"/>
      <c r="C21" s="17"/>
      <c r="D21" t="s">
        <v>23</v>
      </c>
      <c r="E21">
        <v>8</v>
      </c>
      <c r="F21" s="1">
        <v>38.095238095238003</v>
      </c>
      <c r="G21">
        <v>189</v>
      </c>
      <c r="H21" s="1">
        <f>SUM(0.613756613756613*100)</f>
        <v>61.375661375661295</v>
      </c>
      <c r="I21" s="1">
        <v>65.079365079365004</v>
      </c>
      <c r="J21" s="1">
        <v>69.841269841269806</v>
      </c>
      <c r="K21" s="1">
        <v>49.206349206349202</v>
      </c>
    </row>
    <row r="22" spans="2:11" x14ac:dyDescent="0.2">
      <c r="B22" s="17"/>
      <c r="C22" s="17"/>
      <c r="D22" t="s">
        <v>36</v>
      </c>
      <c r="E22">
        <v>15</v>
      </c>
      <c r="F22" s="1">
        <v>0</v>
      </c>
      <c r="G22">
        <v>189</v>
      </c>
      <c r="H22" s="1">
        <f>SUM(0.264550264550264)</f>
        <v>0.26455026455026398</v>
      </c>
      <c r="I22" s="1">
        <v>57.142857142857103</v>
      </c>
      <c r="J22" s="1">
        <v>22.2222222222222</v>
      </c>
      <c r="K22" s="1">
        <v>0</v>
      </c>
    </row>
    <row r="23" spans="2:11" ht="17" thickBot="1" x14ac:dyDescent="0.25">
      <c r="B23" s="17"/>
      <c r="C23" s="17"/>
      <c r="D23" t="s">
        <v>35</v>
      </c>
      <c r="E23">
        <v>24</v>
      </c>
      <c r="F23" s="1">
        <v>15.873015873015801</v>
      </c>
      <c r="G23">
        <v>189</v>
      </c>
      <c r="H23" s="1">
        <f>SUM(0.417989417989417*100)</f>
        <v>41.798941798941705</v>
      </c>
      <c r="I23" s="1">
        <v>55.5555555555555</v>
      </c>
      <c r="J23" s="1">
        <v>25.396825396825299</v>
      </c>
      <c r="K23" s="1">
        <v>44.4444444444444</v>
      </c>
    </row>
    <row r="24" spans="2:11" x14ac:dyDescent="0.2">
      <c r="B24" s="17" t="s">
        <v>39</v>
      </c>
      <c r="C24" s="17">
        <v>66</v>
      </c>
      <c r="D24" s="4" t="s">
        <v>33</v>
      </c>
      <c r="E24" s="4">
        <v>2</v>
      </c>
      <c r="F24" s="5">
        <v>31.818181818181799</v>
      </c>
      <c r="G24" s="4">
        <v>198</v>
      </c>
      <c r="H24" s="15">
        <f>SUM(0.59090909090909*100)</f>
        <v>59.090909090909008</v>
      </c>
      <c r="I24" s="15">
        <v>57.5757575757575</v>
      </c>
      <c r="J24" s="15">
        <v>87.878787878787804</v>
      </c>
      <c r="K24" s="15">
        <v>31.818181818181799</v>
      </c>
    </row>
    <row r="25" spans="2:11" x14ac:dyDescent="0.2">
      <c r="B25" s="17"/>
      <c r="C25" s="17"/>
      <c r="D25" t="s">
        <v>23</v>
      </c>
      <c r="E25">
        <v>19</v>
      </c>
      <c r="F25" s="1">
        <v>16.6666666666666</v>
      </c>
      <c r="G25">
        <v>198</v>
      </c>
      <c r="H25" s="1">
        <f>SUM(0.378787878787878*100)</f>
        <v>37.878787878787804</v>
      </c>
      <c r="I25" s="1">
        <v>34.848484848484802</v>
      </c>
      <c r="J25" s="1">
        <v>60.606060606060602</v>
      </c>
      <c r="K25" s="1">
        <v>18.181818181818102</v>
      </c>
    </row>
    <row r="26" spans="2:11" x14ac:dyDescent="0.2">
      <c r="B26" s="17"/>
      <c r="C26" s="17"/>
      <c r="D26" t="s">
        <v>36</v>
      </c>
      <c r="E26">
        <v>58</v>
      </c>
      <c r="F26" s="1">
        <v>0</v>
      </c>
      <c r="G26">
        <v>198</v>
      </c>
      <c r="H26" s="1">
        <f>SUM(0.04040404040404*100)</f>
        <v>4.0404040404039998</v>
      </c>
      <c r="I26" s="1">
        <v>7.5757575757575699</v>
      </c>
      <c r="J26" s="1">
        <v>4.5454545454545396</v>
      </c>
      <c r="K26" s="1">
        <v>0</v>
      </c>
    </row>
    <row r="27" spans="2:11" ht="17" thickBot="1" x14ac:dyDescent="0.25">
      <c r="B27" s="17"/>
      <c r="C27" s="17"/>
      <c r="D27" s="10" t="s">
        <v>35</v>
      </c>
      <c r="E27" s="10">
        <v>64</v>
      </c>
      <c r="F27" s="11">
        <v>3.0303030303030298</v>
      </c>
      <c r="G27" s="10">
        <v>198</v>
      </c>
      <c r="H27" s="11">
        <f>SUM(0.03030303030303*100)</f>
        <v>3.0303030303030001</v>
      </c>
      <c r="I27" s="11">
        <v>3.0303030303030298</v>
      </c>
      <c r="J27" s="11">
        <v>3.0303030303030298</v>
      </c>
      <c r="K27" s="11">
        <v>3.0303030303030298</v>
      </c>
    </row>
    <row r="28" spans="2:11" x14ac:dyDescent="0.2">
      <c r="C28">
        <f>SUM(C16:C27)</f>
        <v>217</v>
      </c>
    </row>
  </sheetData>
  <mergeCells count="6">
    <mergeCell ref="B16:B19"/>
    <mergeCell ref="B20:B23"/>
    <mergeCell ref="B24:B27"/>
    <mergeCell ref="C16:C19"/>
    <mergeCell ref="C20:C23"/>
    <mergeCell ref="C24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overview_2024-12-16</vt:lpstr>
      <vt:lpstr>Blad1</vt:lpstr>
      <vt:lpstr>Blad2</vt:lpstr>
      <vt:lpstr>Blad3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Piek Vossen</dc:creator>
  <cp:lastModifiedBy>Piek Vossen</cp:lastModifiedBy>
  <dcterms:created xsi:type="dcterms:W3CDTF">2024-12-16T20:59:51Z</dcterms:created>
  <dcterms:modified xsi:type="dcterms:W3CDTF">2024-12-18T15:06:53Z</dcterms:modified>
</cp:coreProperties>
</file>