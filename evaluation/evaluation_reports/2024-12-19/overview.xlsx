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k/Desktop/d-Leolani/cltl-knowledgeextraction/examples/evaluation_reports/"/>
    </mc:Choice>
  </mc:AlternateContent>
  <xr:revisionPtr revIDLastSave="0" documentId="13_ncr:9_{E423C7B9-2870-EC41-8885-5DC38CC39085}" xr6:coauthVersionLast="47" xr6:coauthVersionMax="47" xr10:uidLastSave="{00000000-0000-0000-0000-000000000000}"/>
  <bookViews>
    <workbookView xWindow="-400" yWindow="7160" windowWidth="37980" windowHeight="13960" xr2:uid="{38616234-B2CD-A44B-B3F1-8EB16A0322FF}"/>
  </bookViews>
  <sheets>
    <sheet name="overvi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N16" i="1"/>
  <c r="N23" i="1"/>
  <c r="N15" i="1"/>
  <c r="M15" i="1"/>
  <c r="N7" i="1"/>
  <c r="M7" i="1"/>
  <c r="M6" i="1"/>
  <c r="N2" i="1"/>
  <c r="M2" i="1"/>
  <c r="J25" i="1"/>
  <c r="J17" i="1"/>
  <c r="J9" i="1"/>
  <c r="J5" i="1"/>
  <c r="J13" i="1"/>
  <c r="J21" i="1"/>
  <c r="J31" i="1"/>
  <c r="J30" i="1"/>
  <c r="J29" i="1"/>
  <c r="J24" i="1"/>
  <c r="N24" i="1" s="1"/>
  <c r="J16" i="1"/>
  <c r="J8" i="1"/>
  <c r="J4" i="1"/>
  <c r="J12" i="1"/>
  <c r="J20" i="1"/>
  <c r="J28" i="1"/>
  <c r="J23" i="1"/>
  <c r="J15" i="1"/>
  <c r="J7" i="1"/>
  <c r="J3" i="1"/>
  <c r="J11" i="1"/>
  <c r="J19" i="1"/>
  <c r="J27" i="1"/>
  <c r="J22" i="1"/>
  <c r="J14" i="1"/>
  <c r="N14" i="1" s="1"/>
  <c r="J6" i="1"/>
  <c r="N6" i="1" s="1"/>
  <c r="J2" i="1"/>
  <c r="J10" i="1"/>
  <c r="J18" i="1"/>
  <c r="J26" i="1"/>
  <c r="L25" i="1"/>
  <c r="K25" i="1"/>
  <c r="N25" i="1" s="1"/>
  <c r="L17" i="1"/>
  <c r="K17" i="1"/>
  <c r="N17" i="1" s="1"/>
  <c r="L9" i="1"/>
  <c r="K9" i="1"/>
  <c r="N9" i="1" s="1"/>
  <c r="L5" i="1"/>
  <c r="K5" i="1"/>
  <c r="N5" i="1" s="1"/>
  <c r="L13" i="1"/>
  <c r="K13" i="1"/>
  <c r="N13" i="1" s="1"/>
  <c r="L21" i="1"/>
  <c r="K21" i="1"/>
  <c r="N21" i="1" s="1"/>
  <c r="L31" i="1"/>
  <c r="K31" i="1"/>
  <c r="N31" i="1" s="1"/>
  <c r="L30" i="1"/>
  <c r="K30" i="1"/>
  <c r="N30" i="1" s="1"/>
  <c r="L29" i="1"/>
  <c r="K29" i="1"/>
  <c r="N29" i="1" s="1"/>
  <c r="L24" i="1"/>
  <c r="K24" i="1"/>
  <c r="L16" i="1"/>
  <c r="K16" i="1"/>
  <c r="M16" i="1" s="1"/>
  <c r="L8" i="1"/>
  <c r="K8" i="1"/>
  <c r="N8" i="1" s="1"/>
  <c r="L4" i="1"/>
  <c r="K4" i="1"/>
  <c r="M4" i="1" s="1"/>
  <c r="L12" i="1"/>
  <c r="K12" i="1"/>
  <c r="N12" i="1" s="1"/>
  <c r="L20" i="1"/>
  <c r="K20" i="1"/>
  <c r="N20" i="1" s="1"/>
  <c r="L28" i="1"/>
  <c r="K28" i="1"/>
  <c r="N28" i="1" s="1"/>
  <c r="L23" i="1"/>
  <c r="K23" i="1"/>
  <c r="M23" i="1" s="1"/>
  <c r="L15" i="1"/>
  <c r="K15" i="1"/>
  <c r="L7" i="1"/>
  <c r="K7" i="1"/>
  <c r="L3" i="1"/>
  <c r="K3" i="1"/>
  <c r="N3" i="1" s="1"/>
  <c r="L11" i="1"/>
  <c r="K11" i="1"/>
  <c r="M11" i="1" s="1"/>
  <c r="L19" i="1"/>
  <c r="K19" i="1"/>
  <c r="N19" i="1" s="1"/>
  <c r="L27" i="1"/>
  <c r="K27" i="1"/>
  <c r="N27" i="1" s="1"/>
  <c r="L22" i="1"/>
  <c r="K22" i="1"/>
  <c r="N22" i="1" s="1"/>
  <c r="L14" i="1"/>
  <c r="K14" i="1"/>
  <c r="M14" i="1" s="1"/>
  <c r="L6" i="1"/>
  <c r="K6" i="1"/>
  <c r="L2" i="1"/>
  <c r="K2" i="1"/>
  <c r="L10" i="1"/>
  <c r="K10" i="1"/>
  <c r="N10" i="1" s="1"/>
  <c r="L18" i="1"/>
  <c r="K18" i="1"/>
  <c r="N18" i="1" s="1"/>
  <c r="L26" i="1"/>
  <c r="K26" i="1"/>
  <c r="N26" i="1" s="1"/>
  <c r="M22" i="1" l="1"/>
  <c r="M28" i="1"/>
  <c r="M30" i="1"/>
  <c r="M27" i="1"/>
  <c r="M20" i="1"/>
  <c r="M31" i="1"/>
  <c r="M26" i="1"/>
  <c r="M19" i="1"/>
  <c r="M12" i="1"/>
  <c r="M21" i="1"/>
  <c r="M13" i="1"/>
  <c r="M18" i="1"/>
  <c r="N11" i="1"/>
  <c r="N4" i="1"/>
  <c r="M5" i="1"/>
  <c r="M10" i="1"/>
  <c r="M3" i="1"/>
  <c r="M8" i="1"/>
  <c r="M9" i="1"/>
  <c r="M17" i="1"/>
  <c r="M29" i="1"/>
  <c r="M25" i="1"/>
</calcChain>
</file>

<file path=xl/sharedStrings.xml><?xml version="1.0" encoding="utf-8"?>
<sst xmlns="http://schemas.openxmlformats.org/spreadsheetml/2006/main" count="89" uniqueCount="42">
  <si>
    <t>analyzer</t>
  </si>
  <si>
    <t>test_file</t>
  </si>
  <si>
    <t>nr_utterances</t>
  </si>
  <si>
    <t>no_triples</t>
  </si>
  <si>
    <t>correct_triples</t>
  </si>
  <si>
    <t>incorrect_triples</t>
  </si>
  <si>
    <t>triple_recall</t>
  </si>
  <si>
    <t>triple_precision</t>
  </si>
  <si>
    <t>correct_subjects</t>
  </si>
  <si>
    <t>incorrect_subjects</t>
  </si>
  <si>
    <t>subjects_recall</t>
  </si>
  <si>
    <t>subjects_precision</t>
  </si>
  <si>
    <t>correct_objects</t>
  </si>
  <si>
    <t>incorrect_objects</t>
  </si>
  <si>
    <t>objects_recall</t>
  </si>
  <si>
    <t>objects_precision</t>
  </si>
  <si>
    <t>correct_predicates</t>
  </si>
  <si>
    <t>incorrect_predicates</t>
  </si>
  <si>
    <t>predicates_recall</t>
  </si>
  <si>
    <t>predicates_precision</t>
  </si>
  <si>
    <t>correct_perspectives</t>
  </si>
  <si>
    <t>incorrect_perspectives</t>
  </si>
  <si>
    <t>perspectives_recall</t>
  </si>
  <si>
    <t>perspectives_precision</t>
  </si>
  <si>
    <t>spaCy</t>
  </si>
  <si>
    <t>./data/statements.txt</t>
  </si>
  <si>
    <t>./data/perspective.txt</t>
  </si>
  <si>
    <t>./data/kinship-friends.txt</t>
  </si>
  <si>
    <t>./data/activities.txt</t>
  </si>
  <si>
    <t>./data/feelings.txt</t>
  </si>
  <si>
    <t>./data/locations.txt</t>
  </si>
  <si>
    <t>./data/professions.txt</t>
  </si>
  <si>
    <t>CONV</t>
  </si>
  <si>
    <t>openIE</t>
  </si>
  <si>
    <t>CFG</t>
  </si>
  <si>
    <t>./data/verb-questions.txt</t>
  </si>
  <si>
    <t>./data/wh-questions.txt</t>
  </si>
  <si>
    <t>correct triple elements</t>
  </si>
  <si>
    <t>incorrect triple elements</t>
  </si>
  <si>
    <t>Total triple elements</t>
  </si>
  <si>
    <t>precision triple elements</t>
  </si>
  <si>
    <t>recall triple 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</si>
</sst>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  <xf numFmtId="1" fontId="0" fillId="33" borderId="0" xfId="0" applyNumberFormat="1" applyFill="1"/>
    <xf numFmtId="0" fontId="0" fillId="0" borderId="10" xfId="0" applyBorder="1"/>
    <xf numFmtId="0" fontId="0" fillId="0" borderId="11" xfId="0" applyBorder="1"/>
    <xf numFmtId="0" fontId="0" fillId="0" borderId="11" xfId="0" applyFill="1" applyBorder="1"/>
    <xf numFmtId="2" fontId="0" fillId="0" borderId="11" xfId="0" applyNumberFormat="1" applyFill="1" applyBorder="1"/>
    <xf numFmtId="1" fontId="0" fillId="0" borderId="11" xfId="0" applyNumberFormat="1" applyFill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/>
    <xf numFmtId="0" fontId="0" fillId="0" borderId="0" xfId="0" applyBorder="1"/>
    <xf numFmtId="0" fontId="0" fillId="0" borderId="0" xfId="0" applyFill="1" applyBorder="1"/>
    <xf numFmtId="2" fontId="0" fillId="0" borderId="0" xfId="0" applyNumberFormat="1" applyFill="1" applyBorder="1"/>
    <xf numFmtId="1" fontId="0" fillId="0" borderId="0" xfId="0" applyNumberFormat="1" applyFill="1" applyBorder="1"/>
    <xf numFmtId="2" fontId="0" fillId="0" borderId="0" xfId="0" applyNumberFormat="1" applyBorder="1"/>
    <xf numFmtId="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6" xfId="0" applyFill="1" applyBorder="1"/>
    <xf numFmtId="2" fontId="0" fillId="0" borderId="16" xfId="0" applyNumberFormat="1" applyFill="1" applyBorder="1"/>
    <xf numFmtId="1" fontId="0" fillId="0" borderId="16" xfId="0" applyNumberFormat="1" applyFill="1" applyBorder="1"/>
    <xf numFmtId="1" fontId="0" fillId="33" borderId="16" xfId="0" applyNumberFormat="1" applyFill="1" applyBorder="1"/>
    <xf numFmtId="2" fontId="0" fillId="0" borderId="16" xfId="0" applyNumberFormat="1" applyBorder="1"/>
    <xf numFmtId="2" fontId="0" fillId="0" borderId="17" xfId="0" applyNumberFormat="1" applyBorder="1"/>
    <xf numFmtId="1" fontId="0" fillId="33" borderId="11" xfId="0" applyNumberFormat="1" applyFill="1" applyBorder="1"/>
    <xf numFmtId="1" fontId="0" fillId="33" borderId="0" xfId="0" applyNumberFormat="1" applyFill="1" applyBorder="1"/>
    <xf numFmtId="2" fontId="0" fillId="33" borderId="11" xfId="0" applyNumberFormat="1" applyFill="1" applyBorder="1"/>
    <xf numFmtId="2" fontId="0" fillId="33" borderId="0" xfId="0" applyNumberFormat="1" applyFill="1"/>
    <xf numFmtId="2" fontId="0" fillId="33" borderId="0" xfId="0" applyNumberFormat="1" applyFill="1" applyBorder="1"/>
    <xf numFmtId="2" fontId="0" fillId="33" borderId="16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A559-E9F8-A748-973F-637DE9BF1A16}">
  <dimension ref="A1:AD31"/>
  <sheetViews>
    <sheetView tabSelected="1" topLeftCell="A2" zoomScaleNormal="100" workbookViewId="0">
      <selection activeCell="J26" sqref="J26"/>
    </sheetView>
  </sheetViews>
  <sheetFormatPr baseColWidth="10" defaultRowHeight="16" x14ac:dyDescent="0.2"/>
  <cols>
    <col min="1" max="1" width="5.6640625" customWidth="1"/>
    <col min="3" max="3" width="21.6640625" customWidth="1"/>
    <col min="19" max="19" width="8.33203125" customWidth="1"/>
    <col min="20" max="20" width="7.1640625" customWidth="1"/>
    <col min="23" max="23" width="6.33203125" customWidth="1"/>
    <col min="24" max="24" width="6" customWidth="1"/>
    <col min="27" max="27" width="6.6640625" customWidth="1"/>
    <col min="28" max="28" width="5.33203125" customWidth="1"/>
    <col min="29" max="29" width="6.5" customWidth="1"/>
    <col min="30" max="30" width="8" customWidth="1"/>
  </cols>
  <sheetData>
    <row r="1" spans="1:30" ht="17" thickBot="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39</v>
      </c>
      <c r="K1" t="s">
        <v>37</v>
      </c>
      <c r="L1" t="s">
        <v>38</v>
      </c>
      <c r="M1" t="s">
        <v>40</v>
      </c>
      <c r="N1" t="s">
        <v>41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</row>
    <row r="2" spans="1:30" x14ac:dyDescent="0.2">
      <c r="A2" s="6">
        <v>3</v>
      </c>
      <c r="B2" s="7" t="s">
        <v>24</v>
      </c>
      <c r="C2" s="7" t="s">
        <v>28</v>
      </c>
      <c r="D2" s="8">
        <v>24</v>
      </c>
      <c r="E2" s="8">
        <v>5</v>
      </c>
      <c r="F2" s="8">
        <v>0</v>
      </c>
      <c r="G2" s="8">
        <v>24</v>
      </c>
      <c r="H2" s="9">
        <v>0</v>
      </c>
      <c r="I2" s="9">
        <v>0</v>
      </c>
      <c r="J2" s="10">
        <f>SUM(D2*3)</f>
        <v>72</v>
      </c>
      <c r="K2" s="28">
        <f>SUM(O2,S2,W2)</f>
        <v>36</v>
      </c>
      <c r="L2" s="10">
        <f>SUM(P2,T2,X2)</f>
        <v>36</v>
      </c>
      <c r="M2" s="9">
        <f>SUM(K2/(K2+L2))</f>
        <v>0.5</v>
      </c>
      <c r="N2" s="30">
        <f>SUM(K2/J2)</f>
        <v>0.5</v>
      </c>
      <c r="O2" s="8">
        <v>18</v>
      </c>
      <c r="P2" s="8">
        <v>6</v>
      </c>
      <c r="Q2" s="9">
        <v>75</v>
      </c>
      <c r="R2" s="9">
        <v>75</v>
      </c>
      <c r="S2" s="8">
        <v>18</v>
      </c>
      <c r="T2" s="8">
        <v>6</v>
      </c>
      <c r="U2" s="9">
        <v>75</v>
      </c>
      <c r="V2" s="9">
        <v>75</v>
      </c>
      <c r="W2" s="8">
        <v>0</v>
      </c>
      <c r="X2" s="7">
        <v>24</v>
      </c>
      <c r="Y2" s="11">
        <v>0</v>
      </c>
      <c r="Z2" s="11">
        <v>0</v>
      </c>
      <c r="AA2" s="7">
        <v>0</v>
      </c>
      <c r="AB2" s="7">
        <v>0</v>
      </c>
      <c r="AC2" s="11">
        <v>0</v>
      </c>
      <c r="AD2" s="12">
        <v>0</v>
      </c>
    </row>
    <row r="3" spans="1:30" x14ac:dyDescent="0.2">
      <c r="A3" s="13">
        <v>3</v>
      </c>
      <c r="B3" s="14" t="s">
        <v>32</v>
      </c>
      <c r="C3" s="14" t="s">
        <v>28</v>
      </c>
      <c r="D3" s="15">
        <v>24</v>
      </c>
      <c r="E3" s="15">
        <v>4</v>
      </c>
      <c r="F3" s="15">
        <v>0</v>
      </c>
      <c r="G3" s="15">
        <v>24</v>
      </c>
      <c r="H3" s="16">
        <v>0</v>
      </c>
      <c r="I3" s="16">
        <v>0</v>
      </c>
      <c r="J3" s="17">
        <f>SUM(D3*3)</f>
        <v>72</v>
      </c>
      <c r="K3" s="17">
        <f>SUM(O3,S3,W3)</f>
        <v>22</v>
      </c>
      <c r="L3" s="17">
        <f>SUM(P3,T3,X3)</f>
        <v>50</v>
      </c>
      <c r="M3" s="16">
        <f>SUM(K3/(K3+L3))</f>
        <v>0.30555555555555558</v>
      </c>
      <c r="N3" s="16">
        <f>SUM(K3/J3)</f>
        <v>0.30555555555555558</v>
      </c>
      <c r="O3" s="15">
        <v>17</v>
      </c>
      <c r="P3" s="15">
        <v>7</v>
      </c>
      <c r="Q3" s="16">
        <v>70.8333333333333</v>
      </c>
      <c r="R3" s="16">
        <v>70.8333333333333</v>
      </c>
      <c r="S3" s="15">
        <v>5</v>
      </c>
      <c r="T3" s="15">
        <v>19</v>
      </c>
      <c r="U3" s="16">
        <v>20.8333333333333</v>
      </c>
      <c r="V3" s="16">
        <v>20.8333333333333</v>
      </c>
      <c r="W3" s="15">
        <v>0</v>
      </c>
      <c r="X3" s="14">
        <v>24</v>
      </c>
      <c r="Y3" s="18">
        <v>0</v>
      </c>
      <c r="Z3" s="18">
        <v>0</v>
      </c>
      <c r="AA3" s="14">
        <v>0</v>
      </c>
      <c r="AB3" s="14">
        <v>0</v>
      </c>
      <c r="AC3" s="18">
        <v>0</v>
      </c>
      <c r="AD3" s="19">
        <v>0</v>
      </c>
    </row>
    <row r="4" spans="1:30" x14ac:dyDescent="0.2">
      <c r="A4" s="13">
        <v>3</v>
      </c>
      <c r="B4" s="14" t="s">
        <v>33</v>
      </c>
      <c r="C4" s="14" t="s">
        <v>28</v>
      </c>
      <c r="D4" s="15">
        <v>24</v>
      </c>
      <c r="E4" s="15">
        <v>5</v>
      </c>
      <c r="F4" s="15">
        <v>0</v>
      </c>
      <c r="G4" s="15">
        <v>24</v>
      </c>
      <c r="H4" s="16">
        <v>0</v>
      </c>
      <c r="I4" s="16">
        <v>0</v>
      </c>
      <c r="J4" s="17">
        <f>SUM(D4*3)</f>
        <v>72</v>
      </c>
      <c r="K4" s="17">
        <f>SUM(O4,S4,W4)</f>
        <v>21</v>
      </c>
      <c r="L4" s="17">
        <f>SUM(P4,T4,X4)</f>
        <v>51</v>
      </c>
      <c r="M4" s="16">
        <f>SUM(K4/(K4+L4))</f>
        <v>0.29166666666666669</v>
      </c>
      <c r="N4" s="16">
        <f>SUM(K4/J4)</f>
        <v>0.29166666666666669</v>
      </c>
      <c r="O4" s="15">
        <v>6</v>
      </c>
      <c r="P4" s="15">
        <v>18</v>
      </c>
      <c r="Q4" s="16">
        <v>25</v>
      </c>
      <c r="R4" s="16">
        <v>25</v>
      </c>
      <c r="S4" s="15">
        <v>15</v>
      </c>
      <c r="T4" s="15">
        <v>9</v>
      </c>
      <c r="U4" s="16">
        <v>62.5</v>
      </c>
      <c r="V4" s="16">
        <v>62.5</v>
      </c>
      <c r="W4" s="15">
        <v>0</v>
      </c>
      <c r="X4" s="14">
        <v>24</v>
      </c>
      <c r="Y4" s="18">
        <v>0</v>
      </c>
      <c r="Z4" s="18">
        <v>0</v>
      </c>
      <c r="AA4" s="14">
        <v>0</v>
      </c>
      <c r="AB4" s="14">
        <v>0</v>
      </c>
      <c r="AC4" s="18">
        <v>0</v>
      </c>
      <c r="AD4" s="19">
        <v>0</v>
      </c>
    </row>
    <row r="5" spans="1:30" ht="17" thickBot="1" x14ac:dyDescent="0.25">
      <c r="A5" s="20">
        <v>5</v>
      </c>
      <c r="B5" s="21" t="s">
        <v>34</v>
      </c>
      <c r="C5" s="21" t="s">
        <v>28</v>
      </c>
      <c r="D5" s="22">
        <v>24</v>
      </c>
      <c r="E5" s="22">
        <v>0</v>
      </c>
      <c r="F5" s="22">
        <v>0</v>
      </c>
      <c r="G5" s="22">
        <v>24</v>
      </c>
      <c r="H5" s="23">
        <v>0</v>
      </c>
      <c r="I5" s="23">
        <v>0</v>
      </c>
      <c r="J5" s="24">
        <f>SUM(D5*3)</f>
        <v>72</v>
      </c>
      <c r="K5" s="24">
        <f>SUM(O5,S5,W5)</f>
        <v>14</v>
      </c>
      <c r="L5" s="24">
        <f>SUM(P5,T5,X5)</f>
        <v>58</v>
      </c>
      <c r="M5" s="23">
        <f>SUM(K5/(K5+L5))</f>
        <v>0.19444444444444445</v>
      </c>
      <c r="N5" s="23">
        <f>SUM(K5/J5)</f>
        <v>0.19444444444444445</v>
      </c>
      <c r="O5" s="22">
        <v>6</v>
      </c>
      <c r="P5" s="22">
        <v>18</v>
      </c>
      <c r="Q5" s="23">
        <v>25</v>
      </c>
      <c r="R5" s="23">
        <v>25</v>
      </c>
      <c r="S5" s="22">
        <v>8</v>
      </c>
      <c r="T5" s="22">
        <v>16</v>
      </c>
      <c r="U5" s="23">
        <v>33.3333333333333</v>
      </c>
      <c r="V5" s="23">
        <v>33.3333333333333</v>
      </c>
      <c r="W5" s="22">
        <v>0</v>
      </c>
      <c r="X5" s="21">
        <v>24</v>
      </c>
      <c r="Y5" s="26">
        <v>0</v>
      </c>
      <c r="Z5" s="26">
        <v>0</v>
      </c>
      <c r="AA5" s="21">
        <v>0</v>
      </c>
      <c r="AB5" s="21">
        <v>0</v>
      </c>
      <c r="AC5" s="26">
        <v>0</v>
      </c>
      <c r="AD5" s="27">
        <v>0</v>
      </c>
    </row>
    <row r="6" spans="1:30" x14ac:dyDescent="0.2">
      <c r="A6">
        <v>4</v>
      </c>
      <c r="B6" t="s">
        <v>24</v>
      </c>
      <c r="C6" t="s">
        <v>29</v>
      </c>
      <c r="D6" s="2">
        <v>8</v>
      </c>
      <c r="E6" s="2">
        <v>0</v>
      </c>
      <c r="F6" s="2">
        <v>4</v>
      </c>
      <c r="G6" s="2">
        <v>4</v>
      </c>
      <c r="H6" s="3">
        <v>50</v>
      </c>
      <c r="I6" s="3">
        <v>50</v>
      </c>
      <c r="J6" s="4">
        <f>SUM(D6*3)</f>
        <v>24</v>
      </c>
      <c r="K6" s="5">
        <f>SUM(O6,S6,W6)</f>
        <v>20</v>
      </c>
      <c r="L6" s="4">
        <f>SUM(P6,T6,X6)</f>
        <v>4</v>
      </c>
      <c r="M6" s="3">
        <f>SUM(K6/(K6+L6))</f>
        <v>0.83333333333333337</v>
      </c>
      <c r="N6" s="31">
        <f>SUM(K6/J6)</f>
        <v>0.83333333333333337</v>
      </c>
      <c r="O6" s="2">
        <v>8</v>
      </c>
      <c r="P6" s="2">
        <v>0</v>
      </c>
      <c r="Q6" s="3">
        <v>100</v>
      </c>
      <c r="R6" s="3">
        <v>100</v>
      </c>
      <c r="S6" s="2">
        <v>8</v>
      </c>
      <c r="T6" s="2">
        <v>0</v>
      </c>
      <c r="U6" s="3">
        <v>100</v>
      </c>
      <c r="V6" s="3">
        <v>100</v>
      </c>
      <c r="W6" s="2">
        <v>4</v>
      </c>
      <c r="X6">
        <v>4</v>
      </c>
      <c r="Y6" s="1">
        <v>50</v>
      </c>
      <c r="Z6" s="1">
        <v>50</v>
      </c>
      <c r="AA6">
        <v>0</v>
      </c>
      <c r="AB6">
        <v>0</v>
      </c>
      <c r="AC6" s="1">
        <v>0</v>
      </c>
      <c r="AD6" s="1">
        <v>0</v>
      </c>
    </row>
    <row r="7" spans="1:30" x14ac:dyDescent="0.2">
      <c r="A7">
        <v>4</v>
      </c>
      <c r="B7" t="s">
        <v>32</v>
      </c>
      <c r="C7" t="s">
        <v>29</v>
      </c>
      <c r="D7" s="2">
        <v>8</v>
      </c>
      <c r="E7" s="2">
        <v>0</v>
      </c>
      <c r="F7" s="2">
        <v>4</v>
      </c>
      <c r="G7" s="2">
        <v>4</v>
      </c>
      <c r="H7" s="3">
        <v>50</v>
      </c>
      <c r="I7" s="3">
        <v>50</v>
      </c>
      <c r="J7" s="4">
        <f>SUM(D7*3)</f>
        <v>24</v>
      </c>
      <c r="K7" s="5">
        <f>SUM(O7,S7,W7)</f>
        <v>20</v>
      </c>
      <c r="L7" s="4">
        <f>SUM(P7,T7,X7)</f>
        <v>4</v>
      </c>
      <c r="M7" s="3">
        <f>SUM(K7/(K7+L7))</f>
        <v>0.83333333333333337</v>
      </c>
      <c r="N7" s="31">
        <f>SUM(K7/J7)</f>
        <v>0.83333333333333337</v>
      </c>
      <c r="O7" s="2">
        <v>8</v>
      </c>
      <c r="P7" s="2">
        <v>0</v>
      </c>
      <c r="Q7" s="3">
        <v>100</v>
      </c>
      <c r="R7" s="3">
        <v>100</v>
      </c>
      <c r="S7" s="2">
        <v>8</v>
      </c>
      <c r="T7" s="2">
        <v>0</v>
      </c>
      <c r="U7" s="3">
        <v>100</v>
      </c>
      <c r="V7" s="3">
        <v>100</v>
      </c>
      <c r="W7" s="2">
        <v>4</v>
      </c>
      <c r="X7">
        <v>4</v>
      </c>
      <c r="Y7" s="1">
        <v>50</v>
      </c>
      <c r="Z7" s="1">
        <v>50</v>
      </c>
      <c r="AA7">
        <v>0</v>
      </c>
      <c r="AB7">
        <v>0</v>
      </c>
      <c r="AC7" s="1">
        <v>0</v>
      </c>
      <c r="AD7" s="1">
        <v>0</v>
      </c>
    </row>
    <row r="8" spans="1:30" x14ac:dyDescent="0.2">
      <c r="A8">
        <v>4</v>
      </c>
      <c r="B8" t="s">
        <v>33</v>
      </c>
      <c r="C8" t="s">
        <v>29</v>
      </c>
      <c r="D8" s="2">
        <v>8</v>
      </c>
      <c r="E8" s="2">
        <v>0</v>
      </c>
      <c r="F8" s="2">
        <v>0</v>
      </c>
      <c r="G8" s="2">
        <v>8</v>
      </c>
      <c r="H8" s="3">
        <v>0</v>
      </c>
      <c r="I8" s="3">
        <v>0</v>
      </c>
      <c r="J8" s="4">
        <f>SUM(D8*3)</f>
        <v>24</v>
      </c>
      <c r="K8" s="4">
        <f>SUM(O8,S8,W8)</f>
        <v>14</v>
      </c>
      <c r="L8" s="4">
        <f>SUM(P8,T8,X8)</f>
        <v>10</v>
      </c>
      <c r="M8" s="3">
        <f>SUM(K8/(K8+L8))</f>
        <v>0.58333333333333337</v>
      </c>
      <c r="N8" s="3">
        <f>SUM(K8/J8)</f>
        <v>0.58333333333333337</v>
      </c>
      <c r="O8" s="2">
        <v>4</v>
      </c>
      <c r="P8" s="2">
        <v>4</v>
      </c>
      <c r="Q8" s="3">
        <v>50</v>
      </c>
      <c r="R8" s="3">
        <v>50</v>
      </c>
      <c r="S8" s="2">
        <v>8</v>
      </c>
      <c r="T8" s="2">
        <v>0</v>
      </c>
      <c r="U8" s="3">
        <v>100</v>
      </c>
      <c r="V8" s="3">
        <v>100</v>
      </c>
      <c r="W8" s="2">
        <v>2</v>
      </c>
      <c r="X8">
        <v>6</v>
      </c>
      <c r="Y8" s="1">
        <v>25</v>
      </c>
      <c r="Z8" s="1">
        <v>25</v>
      </c>
      <c r="AA8">
        <v>0</v>
      </c>
      <c r="AB8">
        <v>0</v>
      </c>
      <c r="AC8" s="1">
        <v>0</v>
      </c>
      <c r="AD8" s="1">
        <v>0</v>
      </c>
    </row>
    <row r="9" spans="1:30" ht="17" thickBot="1" x14ac:dyDescent="0.25">
      <c r="A9">
        <v>6</v>
      </c>
      <c r="B9" t="s">
        <v>34</v>
      </c>
      <c r="C9" t="s">
        <v>29</v>
      </c>
      <c r="D9" s="2">
        <v>8</v>
      </c>
      <c r="E9" s="2">
        <v>0</v>
      </c>
      <c r="F9" s="2">
        <v>2</v>
      </c>
      <c r="G9" s="2">
        <v>6</v>
      </c>
      <c r="H9" s="3">
        <v>25</v>
      </c>
      <c r="I9" s="3">
        <v>25</v>
      </c>
      <c r="J9" s="4">
        <f>SUM(D9*3)</f>
        <v>24</v>
      </c>
      <c r="K9" s="4">
        <f>SUM(O9,S9,W9)</f>
        <v>16</v>
      </c>
      <c r="L9" s="4">
        <f>SUM(P9,T9,X9)</f>
        <v>8</v>
      </c>
      <c r="M9" s="3">
        <f>SUM(K9/(K9+L9))</f>
        <v>0.66666666666666663</v>
      </c>
      <c r="N9" s="3">
        <f>SUM(K9/J9)</f>
        <v>0.66666666666666663</v>
      </c>
      <c r="O9" s="2">
        <v>4</v>
      </c>
      <c r="P9" s="2">
        <v>4</v>
      </c>
      <c r="Q9" s="3">
        <v>50</v>
      </c>
      <c r="R9" s="3">
        <v>50</v>
      </c>
      <c r="S9" s="2">
        <v>8</v>
      </c>
      <c r="T9" s="2">
        <v>0</v>
      </c>
      <c r="U9" s="3">
        <v>100</v>
      </c>
      <c r="V9" s="3">
        <v>100</v>
      </c>
      <c r="W9" s="2">
        <v>4</v>
      </c>
      <c r="X9">
        <v>4</v>
      </c>
      <c r="Y9" s="1">
        <v>50</v>
      </c>
      <c r="Z9" s="1">
        <v>50</v>
      </c>
      <c r="AA9">
        <v>0</v>
      </c>
      <c r="AB9">
        <v>0</v>
      </c>
      <c r="AC9" s="1">
        <v>0</v>
      </c>
      <c r="AD9" s="1">
        <v>0</v>
      </c>
    </row>
    <row r="10" spans="1:30" x14ac:dyDescent="0.2">
      <c r="A10" s="6">
        <v>2</v>
      </c>
      <c r="B10" s="7" t="s">
        <v>24</v>
      </c>
      <c r="C10" s="7" t="s">
        <v>27</v>
      </c>
      <c r="D10" s="8">
        <v>34</v>
      </c>
      <c r="E10" s="8">
        <v>8</v>
      </c>
      <c r="F10" s="8">
        <v>0</v>
      </c>
      <c r="G10" s="8">
        <v>34</v>
      </c>
      <c r="H10" s="9">
        <v>0</v>
      </c>
      <c r="I10" s="9">
        <v>0</v>
      </c>
      <c r="J10" s="10">
        <f>SUM(D10*3)</f>
        <v>102</v>
      </c>
      <c r="K10" s="10">
        <f>SUM(O10,S10,W10)</f>
        <v>10</v>
      </c>
      <c r="L10" s="10">
        <f>SUM(P10,T10,X10)</f>
        <v>92</v>
      </c>
      <c r="M10" s="9">
        <f>SUM(K10/(K10+L10))</f>
        <v>9.8039215686274508E-2</v>
      </c>
      <c r="N10" s="9">
        <f>SUM(K10/J10)</f>
        <v>9.8039215686274508E-2</v>
      </c>
      <c r="O10" s="8">
        <v>10</v>
      </c>
      <c r="P10" s="8">
        <v>24</v>
      </c>
      <c r="Q10" s="9">
        <v>29.411764705882302</v>
      </c>
      <c r="R10" s="9">
        <v>29.411764705882302</v>
      </c>
      <c r="S10" s="8">
        <v>0</v>
      </c>
      <c r="T10" s="8">
        <v>34</v>
      </c>
      <c r="U10" s="9">
        <v>0</v>
      </c>
      <c r="V10" s="9">
        <v>0</v>
      </c>
      <c r="W10" s="8">
        <v>0</v>
      </c>
      <c r="X10" s="7">
        <v>34</v>
      </c>
      <c r="Y10" s="11">
        <v>0</v>
      </c>
      <c r="Z10" s="11">
        <v>0</v>
      </c>
      <c r="AA10" s="7">
        <v>0</v>
      </c>
      <c r="AB10" s="7">
        <v>0</v>
      </c>
      <c r="AC10" s="11">
        <v>0</v>
      </c>
      <c r="AD10" s="12">
        <v>0</v>
      </c>
    </row>
    <row r="11" spans="1:30" x14ac:dyDescent="0.2">
      <c r="A11" s="13">
        <v>2</v>
      </c>
      <c r="B11" s="14" t="s">
        <v>32</v>
      </c>
      <c r="C11" s="14" t="s">
        <v>27</v>
      </c>
      <c r="D11" s="15">
        <v>34</v>
      </c>
      <c r="E11" s="15">
        <v>3</v>
      </c>
      <c r="F11" s="15">
        <v>0</v>
      </c>
      <c r="G11" s="15">
        <v>34</v>
      </c>
      <c r="H11" s="16">
        <v>0</v>
      </c>
      <c r="I11" s="16">
        <v>0</v>
      </c>
      <c r="J11" s="17">
        <f>SUM(D11*3)</f>
        <v>102</v>
      </c>
      <c r="K11" s="17">
        <f>SUM(O11,S11,W11)</f>
        <v>8</v>
      </c>
      <c r="L11" s="17">
        <f>SUM(P11,T11,X11)</f>
        <v>94</v>
      </c>
      <c r="M11" s="16">
        <f>SUM(K11/(K11+L11))</f>
        <v>7.8431372549019607E-2</v>
      </c>
      <c r="N11" s="16">
        <f>SUM(K11/J11)</f>
        <v>7.8431372549019607E-2</v>
      </c>
      <c r="O11" s="15">
        <v>7</v>
      </c>
      <c r="P11" s="15">
        <v>27</v>
      </c>
      <c r="Q11" s="16">
        <v>20.588235294117599</v>
      </c>
      <c r="R11" s="16">
        <v>20.588235294117599</v>
      </c>
      <c r="S11" s="15">
        <v>1</v>
      </c>
      <c r="T11" s="15">
        <v>33</v>
      </c>
      <c r="U11" s="16">
        <v>2.9411764705882302</v>
      </c>
      <c r="V11" s="16">
        <v>2.9411764705882302</v>
      </c>
      <c r="W11" s="15">
        <v>0</v>
      </c>
      <c r="X11" s="14">
        <v>34</v>
      </c>
      <c r="Y11" s="18">
        <v>0</v>
      </c>
      <c r="Z11" s="18">
        <v>0</v>
      </c>
      <c r="AA11" s="14">
        <v>0</v>
      </c>
      <c r="AB11" s="14">
        <v>0</v>
      </c>
      <c r="AC11" s="18">
        <v>0</v>
      </c>
      <c r="AD11" s="19">
        <v>0</v>
      </c>
    </row>
    <row r="12" spans="1:30" x14ac:dyDescent="0.2">
      <c r="A12" s="13">
        <v>2</v>
      </c>
      <c r="B12" s="14" t="s">
        <v>33</v>
      </c>
      <c r="C12" s="14" t="s">
        <v>27</v>
      </c>
      <c r="D12" s="15">
        <v>34</v>
      </c>
      <c r="E12" s="15">
        <v>0</v>
      </c>
      <c r="F12" s="15">
        <v>0</v>
      </c>
      <c r="G12" s="15">
        <v>34</v>
      </c>
      <c r="H12" s="16">
        <v>0</v>
      </c>
      <c r="I12" s="16">
        <v>0</v>
      </c>
      <c r="J12" s="17">
        <f>SUM(D12*3)</f>
        <v>102</v>
      </c>
      <c r="K12" s="29">
        <f>SUM(O12,S12,W12)</f>
        <v>13</v>
      </c>
      <c r="L12" s="17">
        <f>SUM(P12,T12,X12)</f>
        <v>89</v>
      </c>
      <c r="M12" s="16">
        <f>SUM(K12/(K12+L12))</f>
        <v>0.12745098039215685</v>
      </c>
      <c r="N12" s="32">
        <f>SUM(K12/J12)</f>
        <v>0.12745098039215685</v>
      </c>
      <c r="O12" s="15">
        <v>12</v>
      </c>
      <c r="P12" s="15">
        <v>22</v>
      </c>
      <c r="Q12" s="16">
        <v>35.294117647058798</v>
      </c>
      <c r="R12" s="16">
        <v>35.294117647058798</v>
      </c>
      <c r="S12" s="15">
        <v>1</v>
      </c>
      <c r="T12" s="15">
        <v>33</v>
      </c>
      <c r="U12" s="16">
        <v>2.9411764705882302</v>
      </c>
      <c r="V12" s="16">
        <v>2.9411764705882302</v>
      </c>
      <c r="W12" s="15">
        <v>0</v>
      </c>
      <c r="X12" s="14">
        <v>34</v>
      </c>
      <c r="Y12" s="18">
        <v>0</v>
      </c>
      <c r="Z12" s="18">
        <v>0</v>
      </c>
      <c r="AA12" s="14">
        <v>0</v>
      </c>
      <c r="AB12" s="14">
        <v>0</v>
      </c>
      <c r="AC12" s="18">
        <v>0</v>
      </c>
      <c r="AD12" s="19">
        <v>0</v>
      </c>
    </row>
    <row r="13" spans="1:30" ht="17" thickBot="1" x14ac:dyDescent="0.25">
      <c r="A13" s="20">
        <v>4</v>
      </c>
      <c r="B13" s="21" t="s">
        <v>34</v>
      </c>
      <c r="C13" s="21" t="s">
        <v>27</v>
      </c>
      <c r="D13" s="22">
        <v>34</v>
      </c>
      <c r="E13" s="22">
        <v>2</v>
      </c>
      <c r="F13" s="22">
        <v>0</v>
      </c>
      <c r="G13" s="22">
        <v>34</v>
      </c>
      <c r="H13" s="23">
        <v>0</v>
      </c>
      <c r="I13" s="23">
        <v>0</v>
      </c>
      <c r="J13" s="24">
        <f>SUM(D13*3)</f>
        <v>102</v>
      </c>
      <c r="K13" s="24">
        <f>SUM(O13,S13,W13)</f>
        <v>11</v>
      </c>
      <c r="L13" s="24">
        <f>SUM(P13,T13,X13)</f>
        <v>91</v>
      </c>
      <c r="M13" s="23">
        <f>SUM(K13/(K13+L13))</f>
        <v>0.10784313725490197</v>
      </c>
      <c r="N13" s="23">
        <f>SUM(K13/J13)</f>
        <v>0.10784313725490197</v>
      </c>
      <c r="O13" s="22">
        <v>10</v>
      </c>
      <c r="P13" s="22">
        <v>24</v>
      </c>
      <c r="Q13" s="23">
        <v>29.411764705882302</v>
      </c>
      <c r="R13" s="23">
        <v>29.411764705882302</v>
      </c>
      <c r="S13" s="22">
        <v>1</v>
      </c>
      <c r="T13" s="22">
        <v>33</v>
      </c>
      <c r="U13" s="23">
        <v>2.9411764705882302</v>
      </c>
      <c r="V13" s="23">
        <v>2.9411764705882302</v>
      </c>
      <c r="W13" s="22">
        <v>0</v>
      </c>
      <c r="X13" s="21">
        <v>34</v>
      </c>
      <c r="Y13" s="26">
        <v>0</v>
      </c>
      <c r="Z13" s="26">
        <v>0</v>
      </c>
      <c r="AA13" s="21">
        <v>0</v>
      </c>
      <c r="AB13" s="21">
        <v>0</v>
      </c>
      <c r="AC13" s="26">
        <v>0</v>
      </c>
      <c r="AD13" s="27">
        <v>0</v>
      </c>
    </row>
    <row r="14" spans="1:30" x14ac:dyDescent="0.2">
      <c r="A14">
        <v>5</v>
      </c>
      <c r="B14" t="s">
        <v>24</v>
      </c>
      <c r="C14" t="s">
        <v>30</v>
      </c>
      <c r="D14" s="2">
        <v>13</v>
      </c>
      <c r="E14" s="2">
        <v>0</v>
      </c>
      <c r="F14" s="2">
        <v>0</v>
      </c>
      <c r="G14" s="2">
        <v>13</v>
      </c>
      <c r="H14" s="3">
        <v>0</v>
      </c>
      <c r="I14" s="3">
        <v>0</v>
      </c>
      <c r="J14" s="4">
        <f>SUM(D14*3)</f>
        <v>39</v>
      </c>
      <c r="K14" s="4">
        <f>SUM(O14,S14,W14)</f>
        <v>16</v>
      </c>
      <c r="L14" s="4">
        <f>SUM(P14,T14,X14)</f>
        <v>23</v>
      </c>
      <c r="M14" s="3">
        <f>SUM(K14/(K14+L14))</f>
        <v>0.41025641025641024</v>
      </c>
      <c r="N14" s="3">
        <f>SUM(K14/J14)</f>
        <v>0.41025641025641024</v>
      </c>
      <c r="O14" s="2">
        <v>13</v>
      </c>
      <c r="P14" s="2">
        <v>0</v>
      </c>
      <c r="Q14" s="3">
        <v>100</v>
      </c>
      <c r="R14" s="3">
        <v>100</v>
      </c>
      <c r="S14" s="2">
        <v>0</v>
      </c>
      <c r="T14" s="2">
        <v>13</v>
      </c>
      <c r="U14" s="3">
        <v>0</v>
      </c>
      <c r="V14" s="3">
        <v>0</v>
      </c>
      <c r="W14" s="2">
        <v>3</v>
      </c>
      <c r="X14">
        <v>10</v>
      </c>
      <c r="Y14" s="1">
        <v>23.076923076922998</v>
      </c>
      <c r="Z14" s="1">
        <v>23.076923076922998</v>
      </c>
      <c r="AA14">
        <v>0</v>
      </c>
      <c r="AB14">
        <v>0</v>
      </c>
      <c r="AC14" s="1">
        <v>0</v>
      </c>
      <c r="AD14" s="1">
        <v>0</v>
      </c>
    </row>
    <row r="15" spans="1:30" x14ac:dyDescent="0.2">
      <c r="A15">
        <v>5</v>
      </c>
      <c r="B15" t="s">
        <v>32</v>
      </c>
      <c r="C15" t="s">
        <v>30</v>
      </c>
      <c r="D15" s="2">
        <v>13</v>
      </c>
      <c r="E15" s="2">
        <v>1</v>
      </c>
      <c r="F15" s="2">
        <v>0</v>
      </c>
      <c r="G15" s="2">
        <v>13</v>
      </c>
      <c r="H15" s="3">
        <v>0</v>
      </c>
      <c r="I15" s="3">
        <v>0</v>
      </c>
      <c r="J15" s="4">
        <f>SUM(D15*3)</f>
        <v>39</v>
      </c>
      <c r="K15" s="4">
        <f>SUM(O15,S15,W15)</f>
        <v>21</v>
      </c>
      <c r="L15" s="4">
        <f>SUM(P15,T15,X15)</f>
        <v>18</v>
      </c>
      <c r="M15" s="3">
        <f>SUM(K15/(K15+L15))</f>
        <v>0.53846153846153844</v>
      </c>
      <c r="N15" s="3">
        <f>SUM(K15/J15)</f>
        <v>0.53846153846153844</v>
      </c>
      <c r="O15" s="2">
        <v>12</v>
      </c>
      <c r="P15" s="2">
        <v>1</v>
      </c>
      <c r="Q15" s="3">
        <v>92.307692307692307</v>
      </c>
      <c r="R15" s="3">
        <v>92.307692307692307</v>
      </c>
      <c r="S15" s="2">
        <v>9</v>
      </c>
      <c r="T15" s="2">
        <v>4</v>
      </c>
      <c r="U15" s="3">
        <v>69.230769230769198</v>
      </c>
      <c r="V15" s="3">
        <v>69.230769230769198</v>
      </c>
      <c r="W15" s="2">
        <v>0</v>
      </c>
      <c r="X15">
        <v>13</v>
      </c>
      <c r="Y15" s="1">
        <v>0</v>
      </c>
      <c r="Z15" s="1">
        <v>0</v>
      </c>
      <c r="AA15">
        <v>0</v>
      </c>
      <c r="AB15">
        <v>0</v>
      </c>
      <c r="AC15" s="1">
        <v>0</v>
      </c>
      <c r="AD15" s="1">
        <v>0</v>
      </c>
    </row>
    <row r="16" spans="1:30" x14ac:dyDescent="0.2">
      <c r="A16">
        <v>5</v>
      </c>
      <c r="B16" t="s">
        <v>33</v>
      </c>
      <c r="C16" t="s">
        <v>30</v>
      </c>
      <c r="D16" s="2">
        <v>13</v>
      </c>
      <c r="E16" s="2">
        <v>0</v>
      </c>
      <c r="F16" s="2">
        <v>0</v>
      </c>
      <c r="G16" s="2">
        <v>13</v>
      </c>
      <c r="H16" s="3">
        <v>0</v>
      </c>
      <c r="I16" s="3">
        <v>0</v>
      </c>
      <c r="J16" s="4">
        <f>SUM(D16*3)</f>
        <v>39</v>
      </c>
      <c r="K16" s="4">
        <f>SUM(O16,S16,W16)</f>
        <v>9</v>
      </c>
      <c r="L16" s="4">
        <f>SUM(P16,T16,X16)</f>
        <v>30</v>
      </c>
      <c r="M16" s="3">
        <f>SUM(K16/(K16+L16))</f>
        <v>0.23076923076923078</v>
      </c>
      <c r="N16" s="3">
        <f>SUM(K16/J16)</f>
        <v>0.23076923076923078</v>
      </c>
      <c r="O16" s="2">
        <v>9</v>
      </c>
      <c r="P16" s="2">
        <v>4</v>
      </c>
      <c r="Q16" s="3">
        <v>69.230769230769198</v>
      </c>
      <c r="R16" s="3">
        <v>69.230769230769198</v>
      </c>
      <c r="S16" s="2">
        <v>0</v>
      </c>
      <c r="T16" s="2">
        <v>13</v>
      </c>
      <c r="U16" s="3">
        <v>0</v>
      </c>
      <c r="V16" s="3">
        <v>0</v>
      </c>
      <c r="W16" s="2">
        <v>0</v>
      </c>
      <c r="X16">
        <v>13</v>
      </c>
      <c r="Y16" s="1">
        <v>0</v>
      </c>
      <c r="Z16" s="1">
        <v>0</v>
      </c>
      <c r="AA16">
        <v>0</v>
      </c>
      <c r="AB16">
        <v>0</v>
      </c>
      <c r="AC16" s="1">
        <v>0</v>
      </c>
      <c r="AD16" s="1">
        <v>0</v>
      </c>
    </row>
    <row r="17" spans="1:30" ht="17" thickBot="1" x14ac:dyDescent="0.25">
      <c r="A17">
        <v>7</v>
      </c>
      <c r="B17" t="s">
        <v>34</v>
      </c>
      <c r="C17" t="s">
        <v>30</v>
      </c>
      <c r="D17" s="2">
        <v>13</v>
      </c>
      <c r="E17" s="2">
        <v>0</v>
      </c>
      <c r="F17" s="2">
        <v>9</v>
      </c>
      <c r="G17" s="2">
        <v>4</v>
      </c>
      <c r="H17" s="3">
        <v>69.230769230769198</v>
      </c>
      <c r="I17" s="3">
        <v>69.230769230769198</v>
      </c>
      <c r="J17" s="4">
        <f>SUM(D17*3)</f>
        <v>39</v>
      </c>
      <c r="K17" s="5">
        <f>SUM(O17,S17,W17)</f>
        <v>35</v>
      </c>
      <c r="L17" s="4">
        <f>SUM(P17,T17,X17)</f>
        <v>4</v>
      </c>
      <c r="M17" s="3">
        <f>SUM(K17/(K17+L17))</f>
        <v>0.89743589743589747</v>
      </c>
      <c r="N17" s="31">
        <f>SUM(K17/J17)</f>
        <v>0.89743589743589747</v>
      </c>
      <c r="O17" s="2">
        <v>9</v>
      </c>
      <c r="P17" s="2">
        <v>4</v>
      </c>
      <c r="Q17" s="3">
        <v>69.230769230769198</v>
      </c>
      <c r="R17" s="3">
        <v>69.230769230769198</v>
      </c>
      <c r="S17" s="2">
        <v>13</v>
      </c>
      <c r="T17" s="2">
        <v>0</v>
      </c>
      <c r="U17" s="3">
        <v>100</v>
      </c>
      <c r="V17" s="3">
        <v>100</v>
      </c>
      <c r="W17" s="2">
        <v>13</v>
      </c>
      <c r="X17">
        <v>0</v>
      </c>
      <c r="Y17" s="1">
        <v>100</v>
      </c>
      <c r="Z17" s="1">
        <v>100</v>
      </c>
      <c r="AA17">
        <v>0</v>
      </c>
      <c r="AB17">
        <v>0</v>
      </c>
      <c r="AC17" s="1">
        <v>0</v>
      </c>
      <c r="AD17" s="1">
        <v>0</v>
      </c>
    </row>
    <row r="18" spans="1:30" x14ac:dyDescent="0.2">
      <c r="A18" s="6">
        <v>1</v>
      </c>
      <c r="B18" s="7" t="s">
        <v>24</v>
      </c>
      <c r="C18" s="7" t="s">
        <v>26</v>
      </c>
      <c r="D18" s="8">
        <v>28</v>
      </c>
      <c r="E18" s="8">
        <v>13</v>
      </c>
      <c r="F18" s="8">
        <v>10</v>
      </c>
      <c r="G18" s="8">
        <v>18</v>
      </c>
      <c r="H18" s="9">
        <v>35.714285714285701</v>
      </c>
      <c r="I18" s="9">
        <v>35.714285714285701</v>
      </c>
      <c r="J18" s="10">
        <f>SUM(D18*3)</f>
        <v>84</v>
      </c>
      <c r="K18" s="28">
        <f>SUM(O18,S18,W18)</f>
        <v>38</v>
      </c>
      <c r="L18" s="10">
        <f>SUM(P18,T18,X18)</f>
        <v>46</v>
      </c>
      <c r="M18" s="9">
        <f>SUM(K18/(K18+L18))</f>
        <v>0.45238095238095238</v>
      </c>
      <c r="N18" s="30">
        <f>SUM(K18/J18)</f>
        <v>0.45238095238095238</v>
      </c>
      <c r="O18" s="8">
        <v>15</v>
      </c>
      <c r="P18" s="8">
        <v>13</v>
      </c>
      <c r="Q18" s="9">
        <v>53.571428571428498</v>
      </c>
      <c r="R18" s="9">
        <v>53.571428571428498</v>
      </c>
      <c r="S18" s="8">
        <v>11</v>
      </c>
      <c r="T18" s="8">
        <v>17</v>
      </c>
      <c r="U18" s="9">
        <v>39.285714285714199</v>
      </c>
      <c r="V18" s="9">
        <v>39.285714285714199</v>
      </c>
      <c r="W18" s="8">
        <v>12</v>
      </c>
      <c r="X18" s="7">
        <v>16</v>
      </c>
      <c r="Y18" s="11">
        <v>42.857142857142797</v>
      </c>
      <c r="Z18" s="11">
        <v>42.857142857142797</v>
      </c>
      <c r="AA18" s="7">
        <v>0</v>
      </c>
      <c r="AB18" s="7">
        <v>36</v>
      </c>
      <c r="AC18" s="11">
        <v>0</v>
      </c>
      <c r="AD18" s="12">
        <v>0</v>
      </c>
    </row>
    <row r="19" spans="1:30" x14ac:dyDescent="0.2">
      <c r="A19" s="13">
        <v>1</v>
      </c>
      <c r="B19" s="14" t="s">
        <v>32</v>
      </c>
      <c r="C19" s="14" t="s">
        <v>26</v>
      </c>
      <c r="D19" s="15">
        <v>28</v>
      </c>
      <c r="E19" s="15">
        <v>15</v>
      </c>
      <c r="F19" s="15">
        <v>6</v>
      </c>
      <c r="G19" s="15">
        <v>22</v>
      </c>
      <c r="H19" s="16">
        <v>21.428571428571399</v>
      </c>
      <c r="I19" s="16">
        <v>21.428571428571399</v>
      </c>
      <c r="J19" s="17">
        <f>SUM(D19*3)</f>
        <v>84</v>
      </c>
      <c r="K19" s="17">
        <f>SUM(O19,S19,W19)</f>
        <v>29</v>
      </c>
      <c r="L19" s="17">
        <f>SUM(P19,T19,X19)</f>
        <v>55</v>
      </c>
      <c r="M19" s="16">
        <f>SUM(K19/(K19+L19))</f>
        <v>0.34523809523809523</v>
      </c>
      <c r="N19" s="16">
        <f>SUM(K19/J19)</f>
        <v>0.34523809523809523</v>
      </c>
      <c r="O19" s="15">
        <v>10</v>
      </c>
      <c r="P19" s="15">
        <v>18</v>
      </c>
      <c r="Q19" s="16">
        <v>35.714285714285701</v>
      </c>
      <c r="R19" s="16">
        <v>35.714285714285701</v>
      </c>
      <c r="S19" s="15">
        <v>13</v>
      </c>
      <c r="T19" s="15">
        <v>15</v>
      </c>
      <c r="U19" s="16">
        <v>46.428571428571402</v>
      </c>
      <c r="V19" s="16">
        <v>46.428571428571402</v>
      </c>
      <c r="W19" s="15">
        <v>6</v>
      </c>
      <c r="X19" s="14">
        <v>22</v>
      </c>
      <c r="Y19" s="18">
        <v>21.428571428571399</v>
      </c>
      <c r="Z19" s="18">
        <v>21.428571428571399</v>
      </c>
      <c r="AA19" s="14">
        <v>18</v>
      </c>
      <c r="AB19" s="14">
        <v>12</v>
      </c>
      <c r="AC19" s="18">
        <v>64.285714285714207</v>
      </c>
      <c r="AD19" s="19">
        <v>60</v>
      </c>
    </row>
    <row r="20" spans="1:30" x14ac:dyDescent="0.2">
      <c r="A20" s="13">
        <v>1</v>
      </c>
      <c r="B20" s="14" t="s">
        <v>33</v>
      </c>
      <c r="C20" s="14" t="s">
        <v>26</v>
      </c>
      <c r="D20" s="15">
        <v>28</v>
      </c>
      <c r="E20" s="15">
        <v>19</v>
      </c>
      <c r="F20" s="15">
        <v>0</v>
      </c>
      <c r="G20" s="15">
        <v>28</v>
      </c>
      <c r="H20" s="16">
        <v>0</v>
      </c>
      <c r="I20" s="16">
        <v>0</v>
      </c>
      <c r="J20" s="17">
        <f>SUM(D20*3)</f>
        <v>84</v>
      </c>
      <c r="K20" s="17">
        <f>SUM(O20,S20,W20)</f>
        <v>12</v>
      </c>
      <c r="L20" s="17">
        <f>SUM(P20,T20,X20)</f>
        <v>72</v>
      </c>
      <c r="M20" s="16">
        <f>SUM(K20/(K20+L20))</f>
        <v>0.14285714285714285</v>
      </c>
      <c r="N20" s="16">
        <f>SUM(K20/J20)</f>
        <v>0.14285714285714285</v>
      </c>
      <c r="O20" s="15">
        <v>7</v>
      </c>
      <c r="P20" s="15">
        <v>21</v>
      </c>
      <c r="Q20" s="16">
        <v>25</v>
      </c>
      <c r="R20" s="16">
        <v>25</v>
      </c>
      <c r="S20" s="15">
        <v>5</v>
      </c>
      <c r="T20" s="15">
        <v>23</v>
      </c>
      <c r="U20" s="16">
        <v>17.857142857142801</v>
      </c>
      <c r="V20" s="16">
        <v>17.857142857142801</v>
      </c>
      <c r="W20" s="15">
        <v>0</v>
      </c>
      <c r="X20" s="14">
        <v>28</v>
      </c>
      <c r="Y20" s="18">
        <v>0</v>
      </c>
      <c r="Z20" s="18">
        <v>0</v>
      </c>
      <c r="AA20" s="14">
        <v>0</v>
      </c>
      <c r="AB20" s="14">
        <v>15</v>
      </c>
      <c r="AC20" s="18">
        <v>0</v>
      </c>
      <c r="AD20" s="19">
        <v>0</v>
      </c>
    </row>
    <row r="21" spans="1:30" ht="17" thickBot="1" x14ac:dyDescent="0.25">
      <c r="A21" s="20">
        <v>3</v>
      </c>
      <c r="B21" s="21" t="s">
        <v>34</v>
      </c>
      <c r="C21" s="21" t="s">
        <v>26</v>
      </c>
      <c r="D21" s="22">
        <v>28</v>
      </c>
      <c r="E21" s="22">
        <v>0</v>
      </c>
      <c r="F21" s="22">
        <v>8</v>
      </c>
      <c r="G21" s="22">
        <v>20</v>
      </c>
      <c r="H21" s="23">
        <v>28.571428571428498</v>
      </c>
      <c r="I21" s="23">
        <v>28.571428571428498</v>
      </c>
      <c r="J21" s="24">
        <f>SUM(D21*3)</f>
        <v>84</v>
      </c>
      <c r="K21" s="24">
        <f>SUM(O21,S21,W21)</f>
        <v>37</v>
      </c>
      <c r="L21" s="24">
        <f>SUM(P21,T21,X21)</f>
        <v>47</v>
      </c>
      <c r="M21" s="23">
        <f>SUM(K21/(K21+L21))</f>
        <v>0.44047619047619047</v>
      </c>
      <c r="N21" s="23">
        <f>SUM(K21/J21)</f>
        <v>0.44047619047619047</v>
      </c>
      <c r="O21" s="22">
        <v>15</v>
      </c>
      <c r="P21" s="22">
        <v>13</v>
      </c>
      <c r="Q21" s="23">
        <v>53.571428571428498</v>
      </c>
      <c r="R21" s="23">
        <v>53.571428571428498</v>
      </c>
      <c r="S21" s="22">
        <v>13</v>
      </c>
      <c r="T21" s="22">
        <v>15</v>
      </c>
      <c r="U21" s="23">
        <v>46.428571428571402</v>
      </c>
      <c r="V21" s="23">
        <v>46.428571428571402</v>
      </c>
      <c r="W21" s="22">
        <v>9</v>
      </c>
      <c r="X21" s="21">
        <v>19</v>
      </c>
      <c r="Y21" s="26">
        <v>32.142857142857103</v>
      </c>
      <c r="Z21" s="26">
        <v>32.142857142857103</v>
      </c>
      <c r="AA21" s="21">
        <v>44</v>
      </c>
      <c r="AB21" s="21">
        <v>22</v>
      </c>
      <c r="AC21" s="26">
        <v>157.142857142857</v>
      </c>
      <c r="AD21" s="27">
        <v>66.6666666666666</v>
      </c>
    </row>
    <row r="22" spans="1:30" x14ac:dyDescent="0.2">
      <c r="A22">
        <v>6</v>
      </c>
      <c r="B22" t="s">
        <v>24</v>
      </c>
      <c r="C22" t="s">
        <v>31</v>
      </c>
      <c r="D22" s="2">
        <v>7</v>
      </c>
      <c r="E22" s="2">
        <v>0</v>
      </c>
      <c r="F22" s="2">
        <v>2</v>
      </c>
      <c r="G22" s="2">
        <v>5</v>
      </c>
      <c r="H22" s="3">
        <v>28.571428571428498</v>
      </c>
      <c r="I22" s="3">
        <v>28.571428571428498</v>
      </c>
      <c r="J22" s="4">
        <f>SUM(D22*3)</f>
        <v>21</v>
      </c>
      <c r="K22" s="5">
        <f>SUM(O22,S22,W22)</f>
        <v>15</v>
      </c>
      <c r="L22" s="4">
        <f>SUM(P22,T22,X22)</f>
        <v>6</v>
      </c>
      <c r="M22" s="3">
        <f>SUM(K22/(K22+L22))</f>
        <v>0.7142857142857143</v>
      </c>
      <c r="N22" s="31">
        <f>SUM(K22/J22)</f>
        <v>0.7142857142857143</v>
      </c>
      <c r="O22" s="2">
        <v>7</v>
      </c>
      <c r="P22" s="2">
        <v>0</v>
      </c>
      <c r="Q22" s="3">
        <v>100</v>
      </c>
      <c r="R22" s="3">
        <v>100</v>
      </c>
      <c r="S22" s="2">
        <v>6</v>
      </c>
      <c r="T22" s="2">
        <v>1</v>
      </c>
      <c r="U22" s="3">
        <v>85.714285714285694</v>
      </c>
      <c r="V22" s="3">
        <v>85.714285714285694</v>
      </c>
      <c r="W22" s="2">
        <v>2</v>
      </c>
      <c r="X22">
        <v>5</v>
      </c>
      <c r="Y22" s="1">
        <v>28.571428571428498</v>
      </c>
      <c r="Z22" s="1">
        <v>28.571428571428498</v>
      </c>
      <c r="AA22">
        <v>0</v>
      </c>
      <c r="AB22">
        <v>0</v>
      </c>
      <c r="AC22" s="1">
        <v>0</v>
      </c>
      <c r="AD22" s="1">
        <v>0</v>
      </c>
    </row>
    <row r="23" spans="1:30" x14ac:dyDescent="0.2">
      <c r="A23">
        <v>6</v>
      </c>
      <c r="B23" t="s">
        <v>32</v>
      </c>
      <c r="C23" t="s">
        <v>31</v>
      </c>
      <c r="D23" s="2">
        <v>7</v>
      </c>
      <c r="E23" s="2">
        <v>1</v>
      </c>
      <c r="F23" s="2">
        <v>3</v>
      </c>
      <c r="G23" s="2">
        <v>4</v>
      </c>
      <c r="H23" s="3">
        <v>42.857142857142797</v>
      </c>
      <c r="I23" s="3">
        <v>42.857142857142797</v>
      </c>
      <c r="J23" s="4">
        <f>SUM(D23*3)</f>
        <v>21</v>
      </c>
      <c r="K23" s="4">
        <f>SUM(O23,S23,W23)</f>
        <v>12</v>
      </c>
      <c r="L23" s="4">
        <f>SUM(P23,T23,X23)</f>
        <v>9</v>
      </c>
      <c r="M23" s="3">
        <f>SUM(K23/(K23+L23))</f>
        <v>0.5714285714285714</v>
      </c>
      <c r="N23" s="3">
        <f>SUM(K23/J23)</f>
        <v>0.5714285714285714</v>
      </c>
      <c r="O23" s="2">
        <v>6</v>
      </c>
      <c r="P23" s="2">
        <v>1</v>
      </c>
      <c r="Q23" s="3">
        <v>85.714285714285694</v>
      </c>
      <c r="R23" s="3">
        <v>85.714285714285694</v>
      </c>
      <c r="S23" s="2">
        <v>3</v>
      </c>
      <c r="T23" s="2">
        <v>4</v>
      </c>
      <c r="U23" s="3">
        <v>42.857142857142797</v>
      </c>
      <c r="V23" s="3">
        <v>42.857142857142797</v>
      </c>
      <c r="W23" s="2">
        <v>3</v>
      </c>
      <c r="X23">
        <v>4</v>
      </c>
      <c r="Y23" s="1">
        <v>42.857142857142797</v>
      </c>
      <c r="Z23" s="1">
        <v>42.857142857142797</v>
      </c>
      <c r="AA23">
        <v>0</v>
      </c>
      <c r="AB23">
        <v>0</v>
      </c>
      <c r="AC23" s="1">
        <v>0</v>
      </c>
      <c r="AD23" s="1">
        <v>0</v>
      </c>
    </row>
    <row r="24" spans="1:30" x14ac:dyDescent="0.2">
      <c r="A24">
        <v>6</v>
      </c>
      <c r="B24" t="s">
        <v>33</v>
      </c>
      <c r="C24" t="s">
        <v>31</v>
      </c>
      <c r="D24" s="2">
        <v>7</v>
      </c>
      <c r="E24" s="2">
        <v>0</v>
      </c>
      <c r="F24" s="2">
        <v>0</v>
      </c>
      <c r="G24" s="2">
        <v>7</v>
      </c>
      <c r="H24" s="3">
        <v>0</v>
      </c>
      <c r="I24" s="3">
        <v>0</v>
      </c>
      <c r="J24" s="4">
        <f>SUM(D24*3)</f>
        <v>21</v>
      </c>
      <c r="K24" s="4">
        <f>SUM(O24,S24,W24)</f>
        <v>9</v>
      </c>
      <c r="L24" s="4">
        <f>SUM(P24,T24,X24)</f>
        <v>12</v>
      </c>
      <c r="M24" s="3">
        <f>SUM(K24/(K24+L24))</f>
        <v>0.42857142857142855</v>
      </c>
      <c r="N24" s="3">
        <f>SUM(K24/J24)</f>
        <v>0.42857142857142855</v>
      </c>
      <c r="O24" s="2">
        <v>3</v>
      </c>
      <c r="P24" s="2">
        <v>4</v>
      </c>
      <c r="Q24" s="3">
        <v>42.857142857142797</v>
      </c>
      <c r="R24" s="3">
        <v>42.857142857142797</v>
      </c>
      <c r="S24" s="2">
        <v>6</v>
      </c>
      <c r="T24" s="2">
        <v>1</v>
      </c>
      <c r="U24" s="3">
        <v>85.714285714285694</v>
      </c>
      <c r="V24" s="3">
        <v>85.714285714285694</v>
      </c>
      <c r="W24" s="2">
        <v>0</v>
      </c>
      <c r="X24">
        <v>7</v>
      </c>
      <c r="Y24" s="1">
        <v>0</v>
      </c>
      <c r="Z24" s="1">
        <v>0</v>
      </c>
      <c r="AA24">
        <v>0</v>
      </c>
      <c r="AB24">
        <v>0</v>
      </c>
      <c r="AC24" s="1">
        <v>0</v>
      </c>
      <c r="AD24" s="1">
        <v>0</v>
      </c>
    </row>
    <row r="25" spans="1:30" ht="17" thickBot="1" x14ac:dyDescent="0.25">
      <c r="A25">
        <v>8</v>
      </c>
      <c r="B25" t="s">
        <v>34</v>
      </c>
      <c r="C25" t="s">
        <v>31</v>
      </c>
      <c r="D25" s="2">
        <v>7</v>
      </c>
      <c r="E25" s="2">
        <v>0</v>
      </c>
      <c r="F25" s="2">
        <v>2</v>
      </c>
      <c r="G25" s="2">
        <v>5</v>
      </c>
      <c r="H25" s="3">
        <v>28.571428571428498</v>
      </c>
      <c r="I25" s="3">
        <v>28.571428571428498</v>
      </c>
      <c r="J25" s="4">
        <f>SUM(D25*3)</f>
        <v>21</v>
      </c>
      <c r="K25" s="4">
        <f>SUM(O25,S25,W25)</f>
        <v>12</v>
      </c>
      <c r="L25" s="4">
        <f>SUM(P25,T25,X25)</f>
        <v>9</v>
      </c>
      <c r="M25" s="3">
        <f>SUM(K25/(K25+L25))</f>
        <v>0.5714285714285714</v>
      </c>
      <c r="N25" s="3">
        <f>SUM(K25/J25)</f>
        <v>0.5714285714285714</v>
      </c>
      <c r="O25" s="2">
        <v>3</v>
      </c>
      <c r="P25" s="2">
        <v>4</v>
      </c>
      <c r="Q25" s="3">
        <v>42.857142857142797</v>
      </c>
      <c r="R25" s="3">
        <v>42.857142857142797</v>
      </c>
      <c r="S25" s="2">
        <v>4</v>
      </c>
      <c r="T25" s="2">
        <v>3</v>
      </c>
      <c r="U25" s="3">
        <v>57.142857142857103</v>
      </c>
      <c r="V25" s="3">
        <v>57.142857142857103</v>
      </c>
      <c r="W25" s="2">
        <v>5</v>
      </c>
      <c r="X25">
        <v>2</v>
      </c>
      <c r="Y25" s="1">
        <v>71.428571428571402</v>
      </c>
      <c r="Z25" s="1">
        <v>71.428571428571402</v>
      </c>
      <c r="AA25">
        <v>0</v>
      </c>
      <c r="AB25">
        <v>0</v>
      </c>
      <c r="AC25" s="1">
        <v>0</v>
      </c>
      <c r="AD25" s="1">
        <v>0</v>
      </c>
    </row>
    <row r="26" spans="1:30" x14ac:dyDescent="0.2">
      <c r="A26" s="6">
        <v>0</v>
      </c>
      <c r="B26" s="7" t="s">
        <v>24</v>
      </c>
      <c r="C26" s="7" t="s">
        <v>25</v>
      </c>
      <c r="D26" s="8">
        <v>88</v>
      </c>
      <c r="E26" s="8">
        <v>40</v>
      </c>
      <c r="F26" s="8">
        <v>10</v>
      </c>
      <c r="G26" s="8">
        <v>78</v>
      </c>
      <c r="H26" s="9">
        <v>11.363636363636299</v>
      </c>
      <c r="I26" s="9">
        <v>11.363636363636299</v>
      </c>
      <c r="J26" s="10">
        <f>SUM(D26*3)</f>
        <v>264</v>
      </c>
      <c r="K26" s="10">
        <f>SUM(O26,S26,W26)</f>
        <v>92</v>
      </c>
      <c r="L26" s="10">
        <f>SUM(P26,T26,X26)</f>
        <v>172</v>
      </c>
      <c r="M26" s="9">
        <f>SUM(K26/(K26+L26))</f>
        <v>0.34848484848484851</v>
      </c>
      <c r="N26" s="9">
        <f>SUM(K26/J26)</f>
        <v>0.34848484848484851</v>
      </c>
      <c r="O26" s="8">
        <v>37</v>
      </c>
      <c r="P26" s="8">
        <v>51</v>
      </c>
      <c r="Q26" s="9">
        <v>42.045454545454497</v>
      </c>
      <c r="R26" s="9">
        <v>42.045454545454497</v>
      </c>
      <c r="S26" s="8">
        <v>21</v>
      </c>
      <c r="T26" s="8">
        <v>67</v>
      </c>
      <c r="U26" s="9">
        <v>23.863636363636299</v>
      </c>
      <c r="V26" s="9">
        <v>23.863636363636299</v>
      </c>
      <c r="W26" s="8">
        <v>34</v>
      </c>
      <c r="X26" s="7">
        <v>54</v>
      </c>
      <c r="Y26" s="11">
        <v>38.636363636363598</v>
      </c>
      <c r="Z26" s="11">
        <v>38.636363636363598</v>
      </c>
      <c r="AA26" s="7">
        <v>0</v>
      </c>
      <c r="AB26" s="7">
        <v>0</v>
      </c>
      <c r="AC26" s="11">
        <v>0</v>
      </c>
      <c r="AD26" s="12">
        <v>0</v>
      </c>
    </row>
    <row r="27" spans="1:30" x14ac:dyDescent="0.2">
      <c r="A27" s="13">
        <v>0</v>
      </c>
      <c r="B27" s="14" t="s">
        <v>32</v>
      </c>
      <c r="C27" s="14" t="s">
        <v>25</v>
      </c>
      <c r="D27" s="15">
        <v>88</v>
      </c>
      <c r="E27" s="15">
        <v>27</v>
      </c>
      <c r="F27" s="15">
        <v>24</v>
      </c>
      <c r="G27" s="15">
        <v>64</v>
      </c>
      <c r="H27" s="16">
        <v>27.272727272727199</v>
      </c>
      <c r="I27" s="16">
        <v>27.272727272727199</v>
      </c>
      <c r="J27" s="17">
        <f>SUM(D27*3)</f>
        <v>264</v>
      </c>
      <c r="K27" s="17">
        <f>SUM(O27,S27,W27)</f>
        <v>126</v>
      </c>
      <c r="L27" s="17">
        <f>SUM(P27,T27,X27)</f>
        <v>138</v>
      </c>
      <c r="M27" s="16">
        <f>SUM(K27/(K27+L27))</f>
        <v>0.47727272727272729</v>
      </c>
      <c r="N27" s="16">
        <f>SUM(K27/J27)</f>
        <v>0.47727272727272729</v>
      </c>
      <c r="O27" s="15">
        <v>43</v>
      </c>
      <c r="P27" s="15">
        <v>45</v>
      </c>
      <c r="Q27" s="16">
        <v>48.863636363636303</v>
      </c>
      <c r="R27" s="16">
        <v>48.863636363636303</v>
      </c>
      <c r="S27" s="15">
        <v>51</v>
      </c>
      <c r="T27" s="15">
        <v>37</v>
      </c>
      <c r="U27" s="16">
        <v>57.954545454545404</v>
      </c>
      <c r="V27" s="16">
        <v>57.954545454545404</v>
      </c>
      <c r="W27" s="15">
        <v>32</v>
      </c>
      <c r="X27" s="14">
        <v>56</v>
      </c>
      <c r="Y27" s="18">
        <v>36.363636363636303</v>
      </c>
      <c r="Z27" s="18">
        <v>36.363636363636303</v>
      </c>
      <c r="AA27" s="14">
        <v>0</v>
      </c>
      <c r="AB27" s="14">
        <v>0</v>
      </c>
      <c r="AC27" s="18">
        <v>0</v>
      </c>
      <c r="AD27" s="19">
        <v>0</v>
      </c>
    </row>
    <row r="28" spans="1:30" x14ac:dyDescent="0.2">
      <c r="A28" s="13">
        <v>0</v>
      </c>
      <c r="B28" s="14" t="s">
        <v>33</v>
      </c>
      <c r="C28" s="14" t="s">
        <v>25</v>
      </c>
      <c r="D28" s="15">
        <v>88</v>
      </c>
      <c r="E28" s="15">
        <v>17</v>
      </c>
      <c r="F28" s="15">
        <v>0</v>
      </c>
      <c r="G28" s="15">
        <v>88</v>
      </c>
      <c r="H28" s="16">
        <v>0</v>
      </c>
      <c r="I28" s="16">
        <v>0</v>
      </c>
      <c r="J28" s="17">
        <f>SUM(D28*3)</f>
        <v>264</v>
      </c>
      <c r="K28" s="17">
        <f>SUM(O28,S28,W28)</f>
        <v>58</v>
      </c>
      <c r="L28" s="17">
        <f>SUM(P28,T28,X28)</f>
        <v>206</v>
      </c>
      <c r="M28" s="16">
        <f>SUM(K28/(K28+L28))</f>
        <v>0.2196969696969697</v>
      </c>
      <c r="N28" s="16">
        <f>SUM(K28/J28)</f>
        <v>0.2196969696969697</v>
      </c>
      <c r="O28" s="15">
        <v>29</v>
      </c>
      <c r="P28" s="15">
        <v>59</v>
      </c>
      <c r="Q28" s="16">
        <v>32.954545454545404</v>
      </c>
      <c r="R28" s="16">
        <v>32.954545454545404</v>
      </c>
      <c r="S28" s="15">
        <v>22</v>
      </c>
      <c r="T28" s="15">
        <v>66</v>
      </c>
      <c r="U28" s="16">
        <v>25</v>
      </c>
      <c r="V28" s="16">
        <v>25</v>
      </c>
      <c r="W28" s="15">
        <v>7</v>
      </c>
      <c r="X28" s="14">
        <v>81</v>
      </c>
      <c r="Y28" s="18">
        <v>7.9545454545454497</v>
      </c>
      <c r="Z28" s="18">
        <v>7.9545454545454497</v>
      </c>
      <c r="AA28" s="14">
        <v>0</v>
      </c>
      <c r="AB28" s="14">
        <v>0</v>
      </c>
      <c r="AC28" s="18">
        <v>0</v>
      </c>
      <c r="AD28" s="19">
        <v>0</v>
      </c>
    </row>
    <row r="29" spans="1:30" ht="17" thickBot="1" x14ac:dyDescent="0.25">
      <c r="A29" s="20">
        <v>0</v>
      </c>
      <c r="B29" s="21" t="s">
        <v>34</v>
      </c>
      <c r="C29" s="21" t="s">
        <v>25</v>
      </c>
      <c r="D29" s="22">
        <v>88</v>
      </c>
      <c r="E29" s="22">
        <v>2</v>
      </c>
      <c r="F29" s="22">
        <v>24</v>
      </c>
      <c r="G29" s="22">
        <v>64</v>
      </c>
      <c r="H29" s="23">
        <v>27.272727272727199</v>
      </c>
      <c r="I29" s="23">
        <v>27.272727272727199</v>
      </c>
      <c r="J29" s="24">
        <f>SUM(D29*3)</f>
        <v>264</v>
      </c>
      <c r="K29" s="25">
        <f>SUM(O29,S29,W29)</f>
        <v>142</v>
      </c>
      <c r="L29" s="24">
        <f>SUM(P29,T29,X29)</f>
        <v>122</v>
      </c>
      <c r="M29" s="23">
        <f>SUM(K29/(K29+L29))</f>
        <v>0.53787878787878785</v>
      </c>
      <c r="N29" s="33">
        <f>SUM(K29/J29)</f>
        <v>0.53787878787878785</v>
      </c>
      <c r="O29" s="22">
        <v>34</v>
      </c>
      <c r="P29" s="22">
        <v>54</v>
      </c>
      <c r="Q29" s="23">
        <v>38.636363636363598</v>
      </c>
      <c r="R29" s="23">
        <v>38.636363636363598</v>
      </c>
      <c r="S29" s="22">
        <v>59</v>
      </c>
      <c r="T29" s="22">
        <v>29</v>
      </c>
      <c r="U29" s="23">
        <v>67.045454545454504</v>
      </c>
      <c r="V29" s="23">
        <v>67.045454545454504</v>
      </c>
      <c r="W29" s="22">
        <v>49</v>
      </c>
      <c r="X29" s="21">
        <v>39</v>
      </c>
      <c r="Y29" s="26">
        <v>55.681818181818102</v>
      </c>
      <c r="Z29" s="26">
        <v>55.681818181818102</v>
      </c>
      <c r="AA29" s="21">
        <v>0</v>
      </c>
      <c r="AB29" s="21">
        <v>0</v>
      </c>
      <c r="AC29" s="26">
        <v>0</v>
      </c>
      <c r="AD29" s="27">
        <v>0</v>
      </c>
    </row>
    <row r="30" spans="1:30" x14ac:dyDescent="0.2">
      <c r="A30">
        <v>1</v>
      </c>
      <c r="B30" t="s">
        <v>34</v>
      </c>
      <c r="C30" t="s">
        <v>35</v>
      </c>
      <c r="D30" s="2">
        <v>63</v>
      </c>
      <c r="E30" s="2">
        <v>0</v>
      </c>
      <c r="F30" s="2">
        <v>29</v>
      </c>
      <c r="G30" s="2">
        <v>34</v>
      </c>
      <c r="H30" s="3">
        <v>46.031746031746003</v>
      </c>
      <c r="I30" s="3">
        <v>46.031746031746003</v>
      </c>
      <c r="J30" s="4">
        <f>SUM(D30*3)</f>
        <v>189</v>
      </c>
      <c r="K30" s="5">
        <f>SUM(O30,S30,W30)</f>
        <v>138</v>
      </c>
      <c r="L30" s="4">
        <f>SUM(P30,T30,X30)</f>
        <v>51</v>
      </c>
      <c r="M30" s="3">
        <f>SUM(K30/(K30+L30))</f>
        <v>0.73015873015873012</v>
      </c>
      <c r="N30" s="31">
        <f>SUM(K30/J30)</f>
        <v>0.73015873015873012</v>
      </c>
      <c r="O30" s="2">
        <v>55</v>
      </c>
      <c r="P30" s="2">
        <v>8</v>
      </c>
      <c r="Q30" s="3">
        <v>87.301587301587304</v>
      </c>
      <c r="R30" s="3">
        <v>87.301587301587304</v>
      </c>
      <c r="S30" s="2">
        <v>50</v>
      </c>
      <c r="T30" s="2">
        <v>13</v>
      </c>
      <c r="U30" s="3">
        <v>79.365079365079296</v>
      </c>
      <c r="V30" s="3">
        <v>79.365079365079296</v>
      </c>
      <c r="W30" s="2">
        <v>33</v>
      </c>
      <c r="X30">
        <v>30</v>
      </c>
      <c r="Y30" s="1">
        <v>52.380952380952301</v>
      </c>
      <c r="Z30" s="1">
        <v>52.380952380952301</v>
      </c>
      <c r="AA30">
        <v>0</v>
      </c>
      <c r="AB30">
        <v>0</v>
      </c>
      <c r="AC30" s="1">
        <v>0</v>
      </c>
      <c r="AD30" s="1">
        <v>0</v>
      </c>
    </row>
    <row r="31" spans="1:30" x14ac:dyDescent="0.2">
      <c r="A31">
        <v>2</v>
      </c>
      <c r="B31" t="s">
        <v>34</v>
      </c>
      <c r="C31" t="s">
        <v>36</v>
      </c>
      <c r="D31" s="2">
        <v>66</v>
      </c>
      <c r="E31" s="2">
        <v>2</v>
      </c>
      <c r="F31" s="2">
        <v>21</v>
      </c>
      <c r="G31" s="2">
        <v>45</v>
      </c>
      <c r="H31" s="3">
        <v>31.818181818181799</v>
      </c>
      <c r="I31" s="3">
        <v>31.818181818181799</v>
      </c>
      <c r="J31" s="4">
        <f>SUM(D31*3)</f>
        <v>198</v>
      </c>
      <c r="K31" s="4">
        <f>SUM(O31,S31,W31)</f>
        <v>117</v>
      </c>
      <c r="L31" s="4">
        <f>SUM(P31,T31,X31)</f>
        <v>81</v>
      </c>
      <c r="M31" s="3">
        <f>SUM(K31/(K31+L31))</f>
        <v>0.59090909090909094</v>
      </c>
      <c r="N31" s="3">
        <f>SUM(K31/J31)</f>
        <v>0.59090909090909094</v>
      </c>
      <c r="O31" s="2">
        <v>38</v>
      </c>
      <c r="P31" s="2">
        <v>28</v>
      </c>
      <c r="Q31" s="3">
        <v>57.5757575757575</v>
      </c>
      <c r="R31" s="3">
        <v>57.5757575757575</v>
      </c>
      <c r="S31" s="2">
        <v>58</v>
      </c>
      <c r="T31" s="2">
        <v>8</v>
      </c>
      <c r="U31" s="3">
        <v>87.878787878787804</v>
      </c>
      <c r="V31" s="3">
        <v>87.878787878787804</v>
      </c>
      <c r="W31" s="2">
        <v>21</v>
      </c>
      <c r="X31">
        <v>45</v>
      </c>
      <c r="Y31" s="1">
        <v>31.818181818181799</v>
      </c>
      <c r="Z31" s="1">
        <v>31.818181818181799</v>
      </c>
      <c r="AA31">
        <v>0</v>
      </c>
      <c r="AB31">
        <v>0</v>
      </c>
      <c r="AC31" s="1">
        <v>0</v>
      </c>
      <c r="AD31" s="1">
        <v>0</v>
      </c>
    </row>
  </sheetData>
  <sortState xmlns:xlrd2="http://schemas.microsoft.com/office/spreadsheetml/2017/richdata2" ref="A2:AE31">
    <sortCondition ref="C2:C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Piek Vossen</dc:creator>
  <cp:lastModifiedBy>Piek Vossen</cp:lastModifiedBy>
  <dcterms:created xsi:type="dcterms:W3CDTF">2024-12-16T08:41:37Z</dcterms:created>
  <dcterms:modified xsi:type="dcterms:W3CDTF">2024-12-16T12:03:45Z</dcterms:modified>
</cp:coreProperties>
</file>