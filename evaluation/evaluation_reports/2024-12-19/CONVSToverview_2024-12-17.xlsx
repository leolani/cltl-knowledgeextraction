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luation_reports_2024-12-19/"/>
    </mc:Choice>
  </mc:AlternateContent>
  <xr:revisionPtr revIDLastSave="0" documentId="13_ncr:1_{609D6C6E-CD16-F245-80AE-ABE34A1A1A3E}" xr6:coauthVersionLast="47" xr6:coauthVersionMax="47" xr10:uidLastSave="{00000000-0000-0000-0000-000000000000}"/>
  <bookViews>
    <workbookView minimized="1" xWindow="30380" yWindow="8400" windowWidth="28240" windowHeight="17240" activeTab="1" xr2:uid="{92C9DC0F-97A7-5E4D-B249-67E5AA1D5BDB}"/>
  </bookViews>
  <sheets>
    <sheet name="CONVSToverview_2024-12-17" sheetId="1" r:id="rId1"/>
    <sheet name="Blad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8" i="2"/>
  <c r="F7" i="2"/>
  <c r="F6" i="2"/>
  <c r="F5" i="2"/>
  <c r="F4" i="2"/>
  <c r="F3" i="2"/>
  <c r="F2" i="2"/>
  <c r="F9" i="2"/>
  <c r="J9" i="2"/>
  <c r="I9" i="2"/>
  <c r="H9" i="2"/>
  <c r="G9" i="2"/>
  <c r="E9" i="2"/>
  <c r="D9" i="2"/>
  <c r="C9" i="2"/>
  <c r="B9" i="2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<sst xmlns="http://schemas.openxmlformats.org/spreadsheetml/2006/main" count="62" uniqueCount="34">
  <si>
    <t>analyzer</t>
  </si>
  <si>
    <t>test_file</t>
  </si>
  <si>
    <t>nr_utterances</t>
  </si>
  <si>
    <t>no_triples</t>
  </si>
  <si>
    <t>correct_triples</t>
  </si>
  <si>
    <t>incorrect_triples</t>
  </si>
  <si>
    <t>triple_precision</t>
  </si>
  <si>
    <t>total triple elements</t>
  </si>
  <si>
    <t>correct triple elements</t>
  </si>
  <si>
    <t>incorrect triple elements</t>
  </si>
  <si>
    <t>precision triple elements</t>
  </si>
  <si>
    <t>correct_subjects</t>
  </si>
  <si>
    <t>incorrect_subjects</t>
  </si>
  <si>
    <t>subjects_precision</t>
  </si>
  <si>
    <t>correct_objects</t>
  </si>
  <si>
    <t>incorrect_objects</t>
  </si>
  <si>
    <t>objects_precision</t>
  </si>
  <si>
    <t>correct_predicates</t>
  </si>
  <si>
    <t>incorrect_predicates</t>
  </si>
  <si>
    <t>predicates_precision</t>
  </si>
  <si>
    <t>correct_perspectives</t>
  </si>
  <si>
    <t>incorrect_perspectives</t>
  </si>
  <si>
    <t>perspectives_precision</t>
  </si>
  <si>
    <t>CONVST</t>
  </si>
  <si>
    <t>./data/conversation_test_examples/test_answer_ellipsis.txt</t>
  </si>
  <si>
    <t>./data/conversation_test_examples/test_coordination.txt</t>
  </si>
  <si>
    <t>./data/conversation_test_examples/test_coreference.txt</t>
  </si>
  <si>
    <t>./data/conversation_test_examples/test_declarative_statements.txt</t>
  </si>
  <si>
    <t>./data/conversation_test_examples/test_declarative_statements_negated.txt</t>
  </si>
  <si>
    <t>./data/conversation_test_examples/test_explicit_no_answers.txt</t>
  </si>
  <si>
    <t>./data/conversation_test_examples/test_explicit_yes_answers.txt</t>
  </si>
  <si>
    <t>./data/conversation_test_examples/test_full.txt</t>
  </si>
  <si>
    <t>./data/conversation_test_examples/test_single_utterances.txt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</si>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</sst>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BEB0-B141-CF46-BF87-3C26165CA94C}">
  <dimension ref="A1:X11"/>
  <sheetViews>
    <sheetView workbookViewId="0">
      <selection activeCell="L2" sqref="L2"/>
    </sheetView>
  </sheetViews>
  <sheetFormatPr baseColWidth="10" defaultRowHeight="16" x14ac:dyDescent="0.2"/>
  <cols>
    <col min="3" max="3" width="65.1640625" bestFit="1" customWidth="1"/>
    <col min="5" max="5" width="5.5" customWidth="1"/>
    <col min="6" max="6" width="8" customWidth="1"/>
    <col min="7" max="7" width="6.1640625" customWidth="1"/>
  </cols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0</v>
      </c>
      <c r="B2" t="s">
        <v>23</v>
      </c>
      <c r="C2" t="s">
        <v>24</v>
      </c>
      <c r="D2">
        <v>101</v>
      </c>
      <c r="E2">
        <v>4</v>
      </c>
      <c r="F2">
        <v>2</v>
      </c>
      <c r="G2">
        <v>99</v>
      </c>
      <c r="H2" s="1">
        <v>1.98019801980198</v>
      </c>
      <c r="I2">
        <v>303</v>
      </c>
      <c r="J2">
        <v>85</v>
      </c>
      <c r="K2">
        <v>218</v>
      </c>
      <c r="L2" s="1">
        <v>0.28052805280527998</v>
      </c>
      <c r="M2">
        <v>62</v>
      </c>
      <c r="N2">
        <v>39</v>
      </c>
      <c r="O2" s="1">
        <v>61.386138613861299</v>
      </c>
      <c r="P2">
        <v>11</v>
      </c>
      <c r="Q2">
        <v>90</v>
      </c>
      <c r="R2" s="1">
        <v>10.8910891089108</v>
      </c>
      <c r="S2">
        <v>12</v>
      </c>
      <c r="T2">
        <v>89</v>
      </c>
      <c r="U2" s="1">
        <v>11.881188118811799</v>
      </c>
      <c r="V2">
        <v>194</v>
      </c>
      <c r="W2">
        <v>97</v>
      </c>
      <c r="X2" s="1">
        <v>66.6666666666666</v>
      </c>
    </row>
    <row r="3" spans="1:24" x14ac:dyDescent="0.2">
      <c r="A3">
        <v>1</v>
      </c>
      <c r="B3" t="s">
        <v>23</v>
      </c>
      <c r="C3" t="s">
        <v>25</v>
      </c>
      <c r="D3">
        <v>82</v>
      </c>
      <c r="E3">
        <v>1</v>
      </c>
      <c r="F3">
        <v>5</v>
      </c>
      <c r="G3">
        <v>77</v>
      </c>
      <c r="H3" s="1">
        <v>6.09756097560975</v>
      </c>
      <c r="I3">
        <v>246</v>
      </c>
      <c r="J3">
        <v>115</v>
      </c>
      <c r="K3">
        <v>131</v>
      </c>
      <c r="L3" s="1">
        <v>0.46747967479674701</v>
      </c>
      <c r="M3">
        <v>63</v>
      </c>
      <c r="N3">
        <v>19</v>
      </c>
      <c r="O3" s="1">
        <v>76.829268292682897</v>
      </c>
      <c r="P3">
        <v>27</v>
      </c>
      <c r="Q3">
        <v>55</v>
      </c>
      <c r="R3" s="1">
        <v>32.9268292682926</v>
      </c>
      <c r="S3">
        <v>25</v>
      </c>
      <c r="T3">
        <v>57</v>
      </c>
      <c r="U3" s="1">
        <v>30.487804878048699</v>
      </c>
      <c r="V3">
        <v>162</v>
      </c>
      <c r="W3">
        <v>81</v>
      </c>
      <c r="X3" s="1">
        <v>66.6666666666666</v>
      </c>
    </row>
    <row r="4" spans="1:24" x14ac:dyDescent="0.2">
      <c r="A4">
        <v>2</v>
      </c>
      <c r="B4" t="s">
        <v>23</v>
      </c>
      <c r="C4" t="s">
        <v>26</v>
      </c>
      <c r="D4">
        <v>78</v>
      </c>
      <c r="E4">
        <v>0</v>
      </c>
      <c r="F4">
        <v>1</v>
      </c>
      <c r="G4">
        <v>77</v>
      </c>
      <c r="H4" s="1">
        <v>1.2820512820512799</v>
      </c>
      <c r="I4">
        <v>234</v>
      </c>
      <c r="J4">
        <v>58</v>
      </c>
      <c r="K4">
        <v>176</v>
      </c>
      <c r="L4" s="1">
        <v>0.24786324786324701</v>
      </c>
      <c r="M4">
        <v>23</v>
      </c>
      <c r="N4">
        <v>55</v>
      </c>
      <c r="O4" s="1">
        <v>29.4871794871794</v>
      </c>
      <c r="P4">
        <v>28</v>
      </c>
      <c r="Q4">
        <v>50</v>
      </c>
      <c r="R4" s="1">
        <v>35.897435897435898</v>
      </c>
      <c r="S4">
        <v>7</v>
      </c>
      <c r="T4">
        <v>71</v>
      </c>
      <c r="U4" s="1">
        <v>8.9743589743589691</v>
      </c>
      <c r="V4">
        <v>156</v>
      </c>
      <c r="W4">
        <v>78</v>
      </c>
      <c r="X4" s="1">
        <v>66.6666666666666</v>
      </c>
    </row>
    <row r="5" spans="1:24" x14ac:dyDescent="0.2">
      <c r="A5">
        <v>3</v>
      </c>
      <c r="B5" t="s">
        <v>23</v>
      </c>
      <c r="C5" t="s">
        <v>27</v>
      </c>
      <c r="D5">
        <v>91</v>
      </c>
      <c r="E5">
        <v>1</v>
      </c>
      <c r="F5">
        <v>2</v>
      </c>
      <c r="G5">
        <v>89</v>
      </c>
      <c r="H5" s="1">
        <v>2.19780219780219</v>
      </c>
      <c r="I5">
        <v>273</v>
      </c>
      <c r="J5">
        <v>102</v>
      </c>
      <c r="K5">
        <v>171</v>
      </c>
      <c r="L5" s="1">
        <v>0.37362637362637302</v>
      </c>
      <c r="M5">
        <v>70</v>
      </c>
      <c r="N5">
        <v>21</v>
      </c>
      <c r="O5" s="1">
        <v>76.923076923076906</v>
      </c>
      <c r="P5">
        <v>22</v>
      </c>
      <c r="Q5">
        <v>69</v>
      </c>
      <c r="R5" s="1">
        <v>24.175824175824101</v>
      </c>
      <c r="S5">
        <v>10</v>
      </c>
      <c r="T5">
        <v>81</v>
      </c>
      <c r="U5" s="1">
        <v>10.9890109890109</v>
      </c>
      <c r="V5">
        <v>180</v>
      </c>
      <c r="W5">
        <v>90</v>
      </c>
      <c r="X5" s="1">
        <v>66.6666666666666</v>
      </c>
    </row>
    <row r="6" spans="1:24" x14ac:dyDescent="0.2">
      <c r="A6">
        <v>4</v>
      </c>
      <c r="B6" t="s">
        <v>23</v>
      </c>
      <c r="C6" t="s">
        <v>28</v>
      </c>
      <c r="D6">
        <v>79</v>
      </c>
      <c r="E6">
        <v>1</v>
      </c>
      <c r="F6">
        <v>3</v>
      </c>
      <c r="G6">
        <v>76</v>
      </c>
      <c r="H6" s="1">
        <v>3.79746835443038</v>
      </c>
      <c r="I6">
        <v>237</v>
      </c>
      <c r="J6">
        <v>107</v>
      </c>
      <c r="K6">
        <v>130</v>
      </c>
      <c r="L6" s="1">
        <v>0.45147679324894502</v>
      </c>
      <c r="M6">
        <v>63</v>
      </c>
      <c r="N6">
        <v>16</v>
      </c>
      <c r="O6" s="1">
        <v>79.746835443037895</v>
      </c>
      <c r="P6">
        <v>32</v>
      </c>
      <c r="Q6">
        <v>47</v>
      </c>
      <c r="R6" s="1">
        <v>40.506329113923996</v>
      </c>
      <c r="S6">
        <v>12</v>
      </c>
      <c r="T6">
        <v>67</v>
      </c>
      <c r="U6" s="1">
        <v>15.1898734177215</v>
      </c>
      <c r="V6">
        <v>155</v>
      </c>
      <c r="W6">
        <v>79</v>
      </c>
      <c r="X6" s="1">
        <v>66.239316239316196</v>
      </c>
    </row>
    <row r="7" spans="1:24" x14ac:dyDescent="0.2">
      <c r="A7">
        <v>5</v>
      </c>
      <c r="B7" t="s">
        <v>23</v>
      </c>
      <c r="C7" t="s">
        <v>29</v>
      </c>
      <c r="D7">
        <v>47</v>
      </c>
      <c r="E7">
        <v>0</v>
      </c>
      <c r="F7">
        <v>2</v>
      </c>
      <c r="G7">
        <v>45</v>
      </c>
      <c r="H7" s="1">
        <v>4.2553191489361701</v>
      </c>
      <c r="I7">
        <v>141</v>
      </c>
      <c r="J7">
        <v>61</v>
      </c>
      <c r="K7">
        <v>80</v>
      </c>
      <c r="L7" s="1">
        <v>0.43262411347517699</v>
      </c>
      <c r="M7">
        <v>37</v>
      </c>
      <c r="N7">
        <v>10</v>
      </c>
      <c r="O7" s="1">
        <v>78.723404255319096</v>
      </c>
      <c r="P7">
        <v>12</v>
      </c>
      <c r="Q7">
        <v>35</v>
      </c>
      <c r="R7" s="1">
        <v>25.531914893617</v>
      </c>
      <c r="S7">
        <v>12</v>
      </c>
      <c r="T7">
        <v>35</v>
      </c>
      <c r="U7" s="1">
        <v>25.531914893617</v>
      </c>
      <c r="V7">
        <v>93</v>
      </c>
      <c r="W7">
        <v>48</v>
      </c>
      <c r="X7" s="1">
        <v>65.957446808510596</v>
      </c>
    </row>
    <row r="8" spans="1:24" x14ac:dyDescent="0.2">
      <c r="A8">
        <v>6</v>
      </c>
      <c r="B8" t="s">
        <v>23</v>
      </c>
      <c r="C8" t="s">
        <v>30</v>
      </c>
      <c r="D8">
        <v>59</v>
      </c>
      <c r="E8">
        <v>0</v>
      </c>
      <c r="F8">
        <v>2</v>
      </c>
      <c r="G8">
        <v>57</v>
      </c>
      <c r="H8" s="1">
        <v>3.3898305084745699</v>
      </c>
      <c r="I8">
        <v>177</v>
      </c>
      <c r="J8">
        <v>64</v>
      </c>
      <c r="K8">
        <v>113</v>
      </c>
      <c r="L8" s="1">
        <v>0.36158192090395402</v>
      </c>
      <c r="M8">
        <v>44</v>
      </c>
      <c r="N8">
        <v>15</v>
      </c>
      <c r="O8" s="1">
        <v>74.576271186440593</v>
      </c>
      <c r="P8">
        <v>7</v>
      </c>
      <c r="Q8">
        <v>52</v>
      </c>
      <c r="R8" s="1">
        <v>11.864406779661</v>
      </c>
      <c r="S8">
        <v>13</v>
      </c>
      <c r="T8">
        <v>46</v>
      </c>
      <c r="U8" s="1">
        <v>22.033898305084701</v>
      </c>
      <c r="V8">
        <v>118</v>
      </c>
      <c r="W8">
        <v>59</v>
      </c>
      <c r="X8" s="1">
        <v>66.6666666666666</v>
      </c>
    </row>
    <row r="9" spans="1:24" x14ac:dyDescent="0.2">
      <c r="C9" t="s">
        <v>33</v>
      </c>
      <c r="D9">
        <f>SUM(D2:D8)</f>
        <v>537</v>
      </c>
      <c r="E9">
        <f>SUM(E2:E8)</f>
        <v>7</v>
      </c>
      <c r="F9">
        <f>SUM(F2:F8)</f>
        <v>17</v>
      </c>
      <c r="G9">
        <f>SUM(G2:G8)</f>
        <v>520</v>
      </c>
      <c r="H9" s="1">
        <f>AVERAGE(H2:H8)</f>
        <v>3.2857472124437597</v>
      </c>
      <c r="I9">
        <f>SUM(I2:I8)</f>
        <v>1611</v>
      </c>
      <c r="J9">
        <f>SUM(J2:J8)</f>
        <v>592</v>
      </c>
      <c r="K9">
        <f>SUM(K2:K8)</f>
        <v>1019</v>
      </c>
      <c r="L9" s="1">
        <f>AVERAGE(L2:L8)</f>
        <v>0.37359716810281757</v>
      </c>
      <c r="M9">
        <f>SUM(M2:M8)</f>
        <v>362</v>
      </c>
      <c r="N9">
        <f>SUM(N2:N8)</f>
        <v>175</v>
      </c>
      <c r="O9" s="1">
        <f>AVERAGE(O2:O8)</f>
        <v>68.238882028799722</v>
      </c>
      <c r="P9">
        <f>SUM(P2:P8)</f>
        <v>139</v>
      </c>
      <c r="Q9">
        <f>SUM(Q2:Q8)</f>
        <v>398</v>
      </c>
      <c r="R9" s="1">
        <f>AVERAGE(R2:R8)</f>
        <v>25.970547033952204</v>
      </c>
      <c r="S9">
        <f>SUM(S2:S8)</f>
        <v>91</v>
      </c>
      <c r="T9">
        <f>SUM(T2:T8)</f>
        <v>446</v>
      </c>
      <c r="U9" s="1">
        <f>AVERAGE(U2:U8)</f>
        <v>17.869721368093369</v>
      </c>
      <c r="V9">
        <f>SUM(V2:V8)</f>
        <v>1058</v>
      </c>
      <c r="W9">
        <f>SUM(W2:W8)</f>
        <v>532</v>
      </c>
      <c r="X9" s="1">
        <f>AVERAGE(X2:X8)</f>
        <v>66.50429948302282</v>
      </c>
    </row>
    <row r="10" spans="1:24" x14ac:dyDescent="0.2">
      <c r="A10">
        <v>7</v>
      </c>
      <c r="B10" t="s">
        <v>23</v>
      </c>
      <c r="C10" t="s">
        <v>31</v>
      </c>
      <c r="D10">
        <v>79</v>
      </c>
      <c r="E10">
        <v>3</v>
      </c>
      <c r="F10">
        <v>2</v>
      </c>
      <c r="G10">
        <v>77</v>
      </c>
      <c r="H10" s="1">
        <v>2.5316455696202498</v>
      </c>
      <c r="I10">
        <v>237</v>
      </c>
      <c r="J10">
        <v>84</v>
      </c>
      <c r="K10">
        <v>153</v>
      </c>
      <c r="L10" s="1">
        <v>0.354430379746835</v>
      </c>
      <c r="M10">
        <v>53</v>
      </c>
      <c r="N10">
        <v>26</v>
      </c>
      <c r="O10" s="1">
        <v>67.088607594936704</v>
      </c>
      <c r="P10">
        <v>20</v>
      </c>
      <c r="Q10">
        <v>59</v>
      </c>
      <c r="R10" s="1">
        <v>25.3164556962025</v>
      </c>
      <c r="S10">
        <v>11</v>
      </c>
      <c r="T10">
        <v>68</v>
      </c>
      <c r="U10" s="1">
        <v>13.9240506329113</v>
      </c>
      <c r="V10">
        <v>152</v>
      </c>
      <c r="W10">
        <v>76</v>
      </c>
      <c r="X10" s="1">
        <v>66.6666666666666</v>
      </c>
    </row>
    <row r="11" spans="1:24" x14ac:dyDescent="0.2">
      <c r="A11">
        <v>8</v>
      </c>
      <c r="B11" t="s">
        <v>23</v>
      </c>
      <c r="C11" t="s">
        <v>32</v>
      </c>
      <c r="D11">
        <v>106</v>
      </c>
      <c r="E11">
        <v>3</v>
      </c>
      <c r="F11">
        <v>5</v>
      </c>
      <c r="G11">
        <v>101</v>
      </c>
      <c r="H11" s="1">
        <v>4.7169811320754702</v>
      </c>
      <c r="I11">
        <v>318</v>
      </c>
      <c r="J11">
        <v>134</v>
      </c>
      <c r="K11">
        <v>184</v>
      </c>
      <c r="L11" s="1">
        <v>0.42138364779874199</v>
      </c>
      <c r="M11">
        <v>90</v>
      </c>
      <c r="N11">
        <v>16</v>
      </c>
      <c r="O11" s="1">
        <v>84.905660377358402</v>
      </c>
      <c r="P11">
        <v>26</v>
      </c>
      <c r="Q11">
        <v>80</v>
      </c>
      <c r="R11" s="1">
        <v>24.528301886792399</v>
      </c>
      <c r="S11">
        <v>18</v>
      </c>
      <c r="T11">
        <v>88</v>
      </c>
      <c r="U11" s="1">
        <v>16.981132075471699</v>
      </c>
      <c r="V11">
        <v>205</v>
      </c>
      <c r="W11">
        <v>104</v>
      </c>
      <c r="X11" s="1">
        <v>66.343042071197402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846A-F831-3F45-AD0A-B91B71A1900D}">
  <dimension ref="A1:J13"/>
  <sheetViews>
    <sheetView tabSelected="1" workbookViewId="0">
      <selection activeCell="A18" sqref="A18"/>
    </sheetView>
  </sheetViews>
  <sheetFormatPr baseColWidth="10" defaultRowHeight="16" x14ac:dyDescent="0.2"/>
  <cols>
    <col min="1" max="1" width="91.6640625" customWidth="1"/>
    <col min="6" max="6" width="25.832031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6</v>
      </c>
      <c r="E1" t="s">
        <v>7</v>
      </c>
      <c r="F1" t="s">
        <v>10</v>
      </c>
      <c r="G1" t="s">
        <v>13</v>
      </c>
      <c r="H1" t="s">
        <v>16</v>
      </c>
      <c r="I1" t="s">
        <v>19</v>
      </c>
      <c r="J1" t="s">
        <v>22</v>
      </c>
    </row>
    <row r="2" spans="1:10" x14ac:dyDescent="0.2">
      <c r="A2" t="s">
        <v>24</v>
      </c>
      <c r="B2">
        <v>101</v>
      </c>
      <c r="C2">
        <v>4</v>
      </c>
      <c r="D2" s="1">
        <v>1.98019801980198</v>
      </c>
      <c r="E2">
        <v>303</v>
      </c>
      <c r="F2" s="1">
        <f>SUM(0.28052805280528*100)</f>
        <v>28.052805280527998</v>
      </c>
      <c r="G2" s="1">
        <v>61.386138613861299</v>
      </c>
      <c r="H2" s="1">
        <v>10.8910891089108</v>
      </c>
      <c r="I2" s="1">
        <v>11.881188118811799</v>
      </c>
      <c r="J2" s="1">
        <v>66.6666666666666</v>
      </c>
    </row>
    <row r="3" spans="1:10" x14ac:dyDescent="0.2">
      <c r="A3" t="s">
        <v>25</v>
      </c>
      <c r="B3">
        <v>82</v>
      </c>
      <c r="C3">
        <v>1</v>
      </c>
      <c r="D3" s="1">
        <v>6.09756097560975</v>
      </c>
      <c r="E3">
        <v>246</v>
      </c>
      <c r="F3" s="1">
        <f>SUM(0.467479674796747*100)</f>
        <v>46.747967479674699</v>
      </c>
      <c r="G3" s="1">
        <v>76.829268292682897</v>
      </c>
      <c r="H3" s="1">
        <v>32.9268292682926</v>
      </c>
      <c r="I3" s="1">
        <v>30.487804878048699</v>
      </c>
      <c r="J3" s="1">
        <v>66.6666666666666</v>
      </c>
    </row>
    <row r="4" spans="1:10" x14ac:dyDescent="0.2">
      <c r="A4" t="s">
        <v>26</v>
      </c>
      <c r="B4">
        <v>78</v>
      </c>
      <c r="C4">
        <v>0</v>
      </c>
      <c r="D4" s="1">
        <v>1.2820512820512799</v>
      </c>
      <c r="E4">
        <v>234</v>
      </c>
      <c r="F4" s="1">
        <f>SUM(0.247863247863247*100)</f>
        <v>24.786324786324702</v>
      </c>
      <c r="G4" s="1">
        <v>29.4871794871794</v>
      </c>
      <c r="H4" s="1">
        <v>35.897435897435898</v>
      </c>
      <c r="I4" s="1">
        <v>8.9743589743589691</v>
      </c>
      <c r="J4" s="1">
        <v>66.6666666666666</v>
      </c>
    </row>
    <row r="5" spans="1:10" x14ac:dyDescent="0.2">
      <c r="A5" t="s">
        <v>27</v>
      </c>
      <c r="B5">
        <v>91</v>
      </c>
      <c r="C5">
        <v>1</v>
      </c>
      <c r="D5" s="1">
        <v>2.19780219780219</v>
      </c>
      <c r="E5">
        <v>273</v>
      </c>
      <c r="F5" s="1">
        <f>SUM(0.373626373626373*100)</f>
        <v>37.362637362637301</v>
      </c>
      <c r="G5" s="1">
        <v>76.923076923076906</v>
      </c>
      <c r="H5" s="1">
        <v>24.175824175824101</v>
      </c>
      <c r="I5" s="1">
        <v>10.9890109890109</v>
      </c>
      <c r="J5" s="1">
        <v>66.6666666666666</v>
      </c>
    </row>
    <row r="6" spans="1:10" x14ac:dyDescent="0.2">
      <c r="A6" t="s">
        <v>28</v>
      </c>
      <c r="B6">
        <v>79</v>
      </c>
      <c r="C6">
        <v>1</v>
      </c>
      <c r="D6" s="1">
        <v>3.79746835443038</v>
      </c>
      <c r="E6">
        <v>237</v>
      </c>
      <c r="F6" s="1">
        <f>SUM(0.451476793248945*100)</f>
        <v>45.147679324894504</v>
      </c>
      <c r="G6" s="1">
        <v>79.746835443037895</v>
      </c>
      <c r="H6" s="1">
        <v>40.506329113923996</v>
      </c>
      <c r="I6" s="1">
        <v>15.1898734177215</v>
      </c>
      <c r="J6" s="1">
        <v>66.239316239316196</v>
      </c>
    </row>
    <row r="7" spans="1:10" x14ac:dyDescent="0.2">
      <c r="A7" t="s">
        <v>29</v>
      </c>
      <c r="B7">
        <v>47</v>
      </c>
      <c r="C7">
        <v>0</v>
      </c>
      <c r="D7" s="1">
        <v>4.2553191489361701</v>
      </c>
      <c r="E7">
        <v>141</v>
      </c>
      <c r="F7" s="1">
        <f>SUM(0.432624113475177*100)</f>
        <v>43.262411347517698</v>
      </c>
      <c r="G7" s="1">
        <v>78.723404255319096</v>
      </c>
      <c r="H7" s="1">
        <v>25.531914893617</v>
      </c>
      <c r="I7" s="1">
        <v>25.531914893617</v>
      </c>
      <c r="J7" s="1">
        <v>65.957446808510596</v>
      </c>
    </row>
    <row r="8" spans="1:10" x14ac:dyDescent="0.2">
      <c r="A8" t="s">
        <v>30</v>
      </c>
      <c r="B8">
        <v>59</v>
      </c>
      <c r="C8">
        <v>0</v>
      </c>
      <c r="D8" s="1">
        <v>3.3898305084745699</v>
      </c>
      <c r="E8">
        <v>177</v>
      </c>
      <c r="F8" s="1">
        <f>SUM(0.361581920903954*100)</f>
        <v>36.158192090395403</v>
      </c>
      <c r="G8" s="1">
        <v>74.576271186440593</v>
      </c>
      <c r="H8" s="1">
        <v>11.864406779661</v>
      </c>
      <c r="I8" s="1">
        <v>22.033898305084701</v>
      </c>
      <c r="J8" s="1">
        <v>66.6666666666666</v>
      </c>
    </row>
    <row r="9" spans="1:10" x14ac:dyDescent="0.2">
      <c r="A9" t="s">
        <v>33</v>
      </c>
      <c r="B9">
        <f>SUM(B2:B8)</f>
        <v>537</v>
      </c>
      <c r="C9">
        <f>SUM(C2:C8)</f>
        <v>7</v>
      </c>
      <c r="D9" s="1">
        <f>AVERAGE(D2:D8)</f>
        <v>3.2857472124437597</v>
      </c>
      <c r="E9">
        <f>SUM(E2:E8)</f>
        <v>1611</v>
      </c>
      <c r="F9" s="1">
        <f>AVERAGE(F2:F8)</f>
        <v>37.359716810281761</v>
      </c>
      <c r="G9" s="1">
        <f>AVERAGE(G2:G8)</f>
        <v>68.238882028799722</v>
      </c>
      <c r="H9" s="1">
        <f>AVERAGE(H2:H8)</f>
        <v>25.970547033952204</v>
      </c>
      <c r="I9" s="1">
        <f>AVERAGE(I2:I8)</f>
        <v>17.869721368093369</v>
      </c>
      <c r="J9" s="1">
        <f>AVERAGE(J2:J8)</f>
        <v>66.50429948302282</v>
      </c>
    </row>
    <row r="10" spans="1:10" x14ac:dyDescent="0.2">
      <c r="A10" s="2" t="s">
        <v>31</v>
      </c>
      <c r="B10" s="2">
        <v>79</v>
      </c>
      <c r="C10" s="2">
        <v>3</v>
      </c>
      <c r="D10" s="3">
        <v>2.5316455696202498</v>
      </c>
      <c r="E10" s="2">
        <v>237</v>
      </c>
      <c r="F10" s="3">
        <f>SUM(0.354430379746835*100)</f>
        <v>35.443037974683499</v>
      </c>
      <c r="G10" s="3">
        <v>67.088607594936704</v>
      </c>
      <c r="H10" s="3">
        <v>25.3164556962025</v>
      </c>
      <c r="I10" s="3">
        <v>13.9240506329113</v>
      </c>
      <c r="J10" s="3">
        <v>66.6666666666666</v>
      </c>
    </row>
    <row r="11" spans="1:10" x14ac:dyDescent="0.2">
      <c r="A11" t="s">
        <v>32</v>
      </c>
      <c r="B11">
        <v>106</v>
      </c>
      <c r="C11">
        <v>3</v>
      </c>
      <c r="D11" s="1">
        <v>4.7169811320754702</v>
      </c>
      <c r="E11">
        <v>318</v>
      </c>
      <c r="F11" s="1">
        <f>SUM(0.421383647798742*100)</f>
        <v>42.138364779874202</v>
      </c>
      <c r="G11" s="1">
        <v>84.905660377358402</v>
      </c>
      <c r="H11" s="1">
        <v>24.528301886792399</v>
      </c>
      <c r="I11" s="1">
        <v>16.981132075471699</v>
      </c>
      <c r="J11" s="1">
        <v>66.343042071197402</v>
      </c>
    </row>
    <row r="13" spans="1:10" x14ac:dyDescent="0.2">
      <c r="C13">
        <v>0</v>
      </c>
      <c r="D13" s="1">
        <v>0</v>
      </c>
      <c r="F13">
        <v>10.54</v>
      </c>
      <c r="G13">
        <v>26.58</v>
      </c>
      <c r="H13">
        <v>3.79</v>
      </c>
      <c r="I13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CONVSToverview_2024-12-17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2024-12-17T19:23:25Z</dcterms:created>
  <dcterms:modified xsi:type="dcterms:W3CDTF">2025-03-18T10:59:07Z</dcterms:modified>
</cp:coreProperties>
</file>